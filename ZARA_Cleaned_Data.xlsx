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Projects Data Analysis\New folder\Zara\"/>
    </mc:Choice>
  </mc:AlternateContent>
  <xr:revisionPtr revIDLastSave="0" documentId="13_ncr:1_{74A7AE24-183D-40E2-936F-ADCBACC30DD7}" xr6:coauthVersionLast="47" xr6:coauthVersionMax="47" xr10:uidLastSave="{00000000-0000-0000-0000-000000000000}"/>
  <bookViews>
    <workbookView xWindow="-108" yWindow="-108" windowWidth="23256" windowHeight="12456" xr2:uid="{C499A352-BFB5-48B3-B848-C1DC02ACC1DB}"/>
  </bookViews>
  <sheets>
    <sheet name="ZARA (2)" sheetId="2" r:id="rId1"/>
  </sheets>
  <definedNames>
    <definedName name="_xlchart.v1.0" hidden="1">'ZARA (2)'!$R$1</definedName>
    <definedName name="_xlchart.v1.1" hidden="1">'ZARA (2)'!$R$2:$R$254</definedName>
    <definedName name="ExternalData_1" localSheetId="0" hidden="1">'ZARA (2)'!$A$1:$R$252</definedName>
  </definedNames>
  <calcPr calcId="191029"/>
  <extLst>
    <ext xmlns:x15="http://schemas.microsoft.com/office/spreadsheetml/2010/11/main" uri="{FCE2AD5D-F65C-4FA6-A056-5C36A1767C68}">
      <x15:dataModel>
        <x15:modelTables>
          <x15:modelTable id="ZARA_384263eb-4d05-4aea-a22f-d6f88072b86c" name="ZARA" connection="Query - ZAR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1" i="2" l="1"/>
  <c r="V9" i="2"/>
  <c r="V10" i="2"/>
  <c r="V12" i="2" l="1"/>
  <c r="V13" i="2" s="1"/>
  <c r="V14"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E29F58-B53C-4ED6-BBE2-5FCCD4639996}" keepAlive="1" name="ModelConnection_ExternalData_1" description="Data Model" type="5" refreshedVersion="8" minRefreshableVersion="5" saveData="1">
    <dbPr connection="Data Model Connection" command="ZARA" commandType="3"/>
    <extLst>
      <ext xmlns:x15="http://schemas.microsoft.com/office/spreadsheetml/2010/11/main" uri="{DE250136-89BD-433C-8126-D09CA5730AF9}">
        <x15:connection id="" model="1"/>
      </ext>
    </extLst>
  </connection>
  <connection id="2" xr16:uid="{68D5DC84-5B33-4D65-BBD0-7204DE98E79C}" name="Query - ZARA" description="Connection to the 'ZARA' query in the workbook." type="100" refreshedVersion="8" minRefreshableVersion="5">
    <extLst>
      <ext xmlns:x15="http://schemas.microsoft.com/office/spreadsheetml/2010/11/main" uri="{DE250136-89BD-433C-8126-D09CA5730AF9}">
        <x15:connection id="745a6b3e-0a0e-46d9-a5f6-7a6391345c8d"/>
      </ext>
    </extLst>
  </connection>
  <connection id="3" xr16:uid="{D7C49278-4FD0-474F-9D43-04AF3440617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<sst xmlns="http://schemas.openxmlformats.org/spreadsheetml/2006/main" count="2283" uniqueCount="905">
  <si>
    <t>Product ID</t>
  </si>
  <si>
    <t>Product Position</t>
  </si>
  <si>
    <t>Promotion</t>
  </si>
  <si>
    <t>Seasonal</t>
  </si>
  <si>
    <t>Sales Volume</t>
  </si>
  <si>
    <t>url</t>
  </si>
  <si>
    <t>sku</t>
  </si>
  <si>
    <t>name</t>
  </si>
  <si>
    <t>description</t>
  </si>
  <si>
    <t>price</t>
  </si>
  <si>
    <t>terms</t>
  </si>
  <si>
    <t>section</t>
  </si>
  <si>
    <t>Aisle</t>
  </si>
  <si>
    <t>No</t>
  </si>
  <si>
    <t>272145190-250-2</t>
  </si>
  <si>
    <t>324052738-800-46</t>
  </si>
  <si>
    <t>Yes</t>
  </si>
  <si>
    <t>335342680-800-44</t>
  </si>
  <si>
    <t>328303236-420-44</t>
  </si>
  <si>
    <t>312368260-800-2</t>
  </si>
  <si>
    <t>320298385-807-2</t>
  </si>
  <si>
    <t>278112470-800-2</t>
  </si>
  <si>
    <t>322972485-431-46</t>
  </si>
  <si>
    <t>313854165-401-46</t>
  </si>
  <si>
    <t>312372602-800-2</t>
  </si>
  <si>
    <t>316207900-710-2</t>
  </si>
  <si>
    <t>329186122-800-2</t>
  </si>
  <si>
    <t>311297791-800-2</t>
  </si>
  <si>
    <t>323134418-800-3</t>
  </si>
  <si>
    <t>311297555-706-2</t>
  </si>
  <si>
    <t>317012940-800-2</t>
  </si>
  <si>
    <t>311292672-800-2</t>
  </si>
  <si>
    <t>321496837-400-3</t>
  </si>
  <si>
    <t>316205038-615-2</t>
  </si>
  <si>
    <t>322972473-052-46</t>
  </si>
  <si>
    <t>313845662-400-3</t>
  </si>
  <si>
    <t>320264577-800-2</t>
  </si>
  <si>
    <t>315529534-705-3</t>
  </si>
  <si>
    <t>320423517-800-2</t>
  </si>
  <si>
    <t>328250627-251-46</t>
  </si>
  <si>
    <t>311309526-800-2</t>
  </si>
  <si>
    <t>311287528-811-2</t>
  </si>
  <si>
    <t>342657802-914-2</t>
  </si>
  <si>
    <t>316207898-712-2</t>
  </si>
  <si>
    <t>321496761-800-2</t>
  </si>
  <si>
    <t>311307255-800-2</t>
  </si>
  <si>
    <t>317129011-500-2</t>
  </si>
  <si>
    <t>330274270-800-2</t>
  </si>
  <si>
    <t>311297855-800-2</t>
  </si>
  <si>
    <t>317782474-800-2</t>
  </si>
  <si>
    <t>315758723-401-2</t>
  </si>
  <si>
    <t>311302863-800-2</t>
  </si>
  <si>
    <t>311282759-806-2</t>
  </si>
  <si>
    <t>323134415-700-3</t>
  </si>
  <si>
    <t>312372582-526-2</t>
  </si>
  <si>
    <t>321143726-712-2</t>
  </si>
  <si>
    <t>320220949-507-2</t>
  </si>
  <si>
    <t>312664937-514-2</t>
  </si>
  <si>
    <t>321143723-401-2</t>
  </si>
  <si>
    <t>311297763-800-2</t>
  </si>
  <si>
    <t>311292194-731-2</t>
  </si>
  <si>
    <t>335663355-406-2</t>
  </si>
  <si>
    <t>312363708-800-2</t>
  </si>
  <si>
    <t>312320664-251-2</t>
  </si>
  <si>
    <t>311302445-445-97</t>
  </si>
  <si>
    <t>323216370-422-97</t>
  </si>
  <si>
    <t>317107014-707-2</t>
  </si>
  <si>
    <t>328594167-800-46</t>
  </si>
  <si>
    <t>311309598-711-2</t>
  </si>
  <si>
    <t>267133943-711-2</t>
  </si>
  <si>
    <t>318265017-401-2</t>
  </si>
  <si>
    <t>322410604-401-2</t>
  </si>
  <si>
    <t>324149982-982-2</t>
  </si>
  <si>
    <t>320531693-707-2</t>
  </si>
  <si>
    <t>328279967-409-3</t>
  </si>
  <si>
    <t>320774184-800-97</t>
  </si>
  <si>
    <t>322972491-800-2</t>
  </si>
  <si>
    <t>321501682-800-2</t>
  </si>
  <si>
    <t>328616906-712-2</t>
  </si>
  <si>
    <t>311292541-802-2</t>
  </si>
  <si>
    <t>319205114-807-2</t>
  </si>
  <si>
    <t>276213846-500-2</t>
  </si>
  <si>
    <t>328244979-064-48</t>
  </si>
  <si>
    <t>323050745-798-97</t>
  </si>
  <si>
    <t>319166635-401-2</t>
  </si>
  <si>
    <t>311297489-800-2</t>
  </si>
  <si>
    <t>311292073-709-2</t>
  </si>
  <si>
    <t>311292572-401-2</t>
  </si>
  <si>
    <t>336821611-706-2</t>
  </si>
  <si>
    <t>311307584-518-2</t>
  </si>
  <si>
    <t>321151893-609-2</t>
  </si>
  <si>
    <t>311297509-800-2</t>
  </si>
  <si>
    <t>315947178-800-2</t>
  </si>
  <si>
    <t>311297745-800-2</t>
  </si>
  <si>
    <t>330290360-427-3</t>
  </si>
  <si>
    <t>320449897-427-2</t>
  </si>
  <si>
    <t>311297724-700-97</t>
  </si>
  <si>
    <t>328332050-700-97</t>
  </si>
  <si>
    <t>311282469-505-2</t>
  </si>
  <si>
    <t>319502128-515-2</t>
  </si>
  <si>
    <t>311287226-472-2</t>
  </si>
  <si>
    <t>316683359-818-2</t>
  </si>
  <si>
    <t>322901350-800-46</t>
  </si>
  <si>
    <t>322929313-802-97</t>
  </si>
  <si>
    <t>267186163-643-2</t>
  </si>
  <si>
    <t>329706743-401-46</t>
  </si>
  <si>
    <t>321496813-710-2</t>
  </si>
  <si>
    <t>312596416-800-2</t>
  </si>
  <si>
    <t>311287132-251-2</t>
  </si>
  <si>
    <t>323675323-700-2</t>
  </si>
  <si>
    <t>323672371-507-2</t>
  </si>
  <si>
    <t>327116625-505-2</t>
  </si>
  <si>
    <t>311302424-409-2</t>
  </si>
  <si>
    <t>329158644-605-2</t>
  </si>
  <si>
    <t>329300083-705-48</t>
  </si>
  <si>
    <t>323212374-510-2</t>
  </si>
  <si>
    <t>322547863-811-2</t>
  </si>
  <si>
    <t>320600266-745-2</t>
  </si>
  <si>
    <t>320771732-800-2</t>
  </si>
  <si>
    <t>289179723-020-2</t>
  </si>
  <si>
    <t>327747299-800-2</t>
  </si>
  <si>
    <t>317782501-701-2</t>
  </si>
  <si>
    <t>311282298-099-2</t>
  </si>
  <si>
    <t>322612356-505-2</t>
  </si>
  <si>
    <t>311282631-712-2</t>
  </si>
  <si>
    <t>329282612-401-2</t>
  </si>
  <si>
    <t>320026789-714-2</t>
  </si>
  <si>
    <t>323216360-406-2</t>
  </si>
  <si>
    <t>318209963-800-2</t>
  </si>
  <si>
    <t>316727555-700-2</t>
  </si>
  <si>
    <t>312571093-710-2</t>
  </si>
  <si>
    <t>330290387-401-2</t>
  </si>
  <si>
    <t>313027279-800-2</t>
  </si>
  <si>
    <t>320671529-802-2</t>
  </si>
  <si>
    <t>323646471-802-2</t>
  </si>
  <si>
    <t>312978838-611-2</t>
  </si>
  <si>
    <t>336446858-822-2</t>
  </si>
  <si>
    <t>281883711-071-2</t>
  </si>
  <si>
    <t>313008692-514-2</t>
  </si>
  <si>
    <t>281593208-015-2</t>
  </si>
  <si>
    <t>314937772-710-2</t>
  </si>
  <si>
    <t>320278659-251-2</t>
  </si>
  <si>
    <t>321993245-500-2</t>
  </si>
  <si>
    <t>330590505-500-2</t>
  </si>
  <si>
    <t>320680326-107-39</t>
  </si>
  <si>
    <t>311292244-800-39</t>
  </si>
  <si>
    <t>311307610-400-39</t>
  </si>
  <si>
    <t>311302877-203-39</t>
  </si>
  <si>
    <t>311302598-500-39</t>
  </si>
  <si>
    <t>311297328-800-39</t>
  </si>
  <si>
    <t>311302865-804-39</t>
  </si>
  <si>
    <t>311307489-203-39</t>
  </si>
  <si>
    <t>311287075-120-39</t>
  </si>
  <si>
    <t>276378605-515-39</t>
  </si>
  <si>
    <t>277776476-700-39</t>
  </si>
  <si>
    <t>313381662-202-39</t>
  </si>
  <si>
    <t>311292343-700-39</t>
  </si>
  <si>
    <t>311309627-805-39</t>
  </si>
  <si>
    <t>315851805-800-39</t>
  </si>
  <si>
    <t>311292644-400-39</t>
  </si>
  <si>
    <t>311302552-800-39</t>
  </si>
  <si>
    <t>311302532-102-39</t>
  </si>
  <si>
    <t>311287147-723-39</t>
  </si>
  <si>
    <t>311307332-202-39</t>
  </si>
  <si>
    <t>311282293-131-39</t>
  </si>
  <si>
    <t>311287149-800-39</t>
  </si>
  <si>
    <t>311307624-500-39</t>
  </si>
  <si>
    <t>311282212-800-39</t>
  </si>
  <si>
    <t>311292281-203-39</t>
  </si>
  <si>
    <t>311302515-800-39</t>
  </si>
  <si>
    <t>314937773-800-39</t>
  </si>
  <si>
    <t>316608794-802-39</t>
  </si>
  <si>
    <t>319205037-800-39</t>
  </si>
  <si>
    <t>311307495-131-39</t>
  </si>
  <si>
    <t>336449731-712-1</t>
  </si>
  <si>
    <t>313890651-712-2</t>
  </si>
  <si>
    <t>287414911-803-2</t>
  </si>
  <si>
    <t>342171615-104-2</t>
  </si>
  <si>
    <t>314152967-485-2</t>
  </si>
  <si>
    <t>324186867-642-2</t>
  </si>
  <si>
    <t>316900618-809-2</t>
  </si>
  <si>
    <t>313890645-330-2</t>
  </si>
  <si>
    <t>324597432-800-2</t>
  </si>
  <si>
    <t>313890686-731-2</t>
  </si>
  <si>
    <t>313890650-712-2</t>
  </si>
  <si>
    <t>313890680-450-2</t>
  </si>
  <si>
    <t>344575855-982-2</t>
  </si>
  <si>
    <t>323175653-803-2</t>
  </si>
  <si>
    <t>324814227-400-2</t>
  </si>
  <si>
    <t>323218942-800-2</t>
  </si>
  <si>
    <t>313890656-800-2</t>
  </si>
  <si>
    <t>321480271-802-2</t>
  </si>
  <si>
    <t>311297787-806-1</t>
  </si>
  <si>
    <t>322677494-446-1</t>
  </si>
  <si>
    <t>313890688-330-1</t>
  </si>
  <si>
    <t>322451460-800-1</t>
  </si>
  <si>
    <t>319465261-800-2</t>
  </si>
  <si>
    <t>317331009-312-2</t>
  </si>
  <si>
    <t>311297400-803-1</t>
  </si>
  <si>
    <t>336449779-104-1</t>
  </si>
  <si>
    <t>324593343-043-2</t>
  </si>
  <si>
    <t>319473750-809-1</t>
  </si>
  <si>
    <t>331789902-808-1</t>
  </si>
  <si>
    <t>300250126-401-2</t>
  </si>
  <si>
    <t>320052978-401-2</t>
  </si>
  <si>
    <t>324722597-400-2</t>
  </si>
  <si>
    <t>328207551-500-2</t>
  </si>
  <si>
    <t>318131967-800-2</t>
  </si>
  <si>
    <t>324027512-064-2</t>
  </si>
  <si>
    <t>311292623-712-97</t>
  </si>
  <si>
    <t>319162032-064-2</t>
  </si>
  <si>
    <t>324908098-800-38</t>
  </si>
  <si>
    <t>326540983-802-36</t>
  </si>
  <si>
    <t>315836999-406-34</t>
  </si>
  <si>
    <t>315738965-802-34</t>
  </si>
  <si>
    <t>311287318-400-38</t>
  </si>
  <si>
    <t>312393140-406-2</t>
  </si>
  <si>
    <t>275600408-400-2</t>
  </si>
  <si>
    <t>311303003-407-38</t>
  </si>
  <si>
    <t>311307250-710-3</t>
  </si>
  <si>
    <t>267195405-500-3</t>
  </si>
  <si>
    <t>317894313-707-3</t>
  </si>
  <si>
    <t>315075917-803-2</t>
  </si>
  <si>
    <t>317889153-700-3</t>
  </si>
  <si>
    <t>315241755-800-2</t>
  </si>
  <si>
    <t>320326523-707-2</t>
  </si>
  <si>
    <t>316715458-250-2</t>
  </si>
  <si>
    <t>322677489-800-2</t>
  </si>
  <si>
    <t>330077856-251-2</t>
  </si>
  <si>
    <t>328232452-898-2</t>
  </si>
  <si>
    <t>317230892-251-3</t>
  </si>
  <si>
    <t>330478123-712-2</t>
  </si>
  <si>
    <t>318255748-250-2</t>
  </si>
  <si>
    <t>319334069-712-2</t>
  </si>
  <si>
    <t>311307261-712-2</t>
  </si>
  <si>
    <t>323216369-922-2</t>
  </si>
  <si>
    <t>320111404-428-2</t>
  </si>
  <si>
    <t>328232445-800-2</t>
  </si>
  <si>
    <t>311297550-251-2</t>
  </si>
  <si>
    <t>322909502-819-2</t>
  </si>
  <si>
    <t>320071210-802-2</t>
  </si>
  <si>
    <t>319334070-401-2</t>
  </si>
  <si>
    <t>scraped_at.1</t>
  </si>
  <si>
    <t>scraped_at.2</t>
  </si>
  <si>
    <t>Promotion-%-</t>
  </si>
  <si>
    <t>Seasonal-%-</t>
  </si>
  <si>
    <t>section gender</t>
  </si>
  <si>
    <t>Total Revenue</t>
  </si>
  <si>
    <t>Https://Www.Zara.Com/Us/En/Basic-Puffer-Jacket-P06985450.Html</t>
  </si>
  <si>
    <t>Basic Puffer Jacket</t>
  </si>
  <si>
    <t>Puffer Jacket Made Of Tear-Resistant Ripstop Fabric. High Collar And Adjustable Long Sleeves With Adhesive Straps. Welt Pockets At Hip. Adjustable Hem With Side Elastics. Front Zip Closure.</t>
  </si>
  <si>
    <t>Jackets</t>
  </si>
  <si>
    <t>Man</t>
  </si>
  <si>
    <t>Https://Www.Zara.Com/Us/En/Tuxedo-Jacket-P08896675.Html</t>
  </si>
  <si>
    <t>Tuxedo Jacket</t>
  </si>
  <si>
    <t>Straight Fit Blazer. Pointed Lapel Collar And Long Sleeves With Buttoned Cuffs. Welt Pockets At Hip And Interior Pocket. Central Back Vent At Hem. Front Button Closure.</t>
  </si>
  <si>
    <t>End-Cap</t>
  </si>
  <si>
    <t>Https://Www.Zara.Com/Us/En/Slim-Fit-Suit-Jacket-P01564520.Html</t>
  </si>
  <si>
    <t>Slim Fit Suit Jacket</t>
  </si>
  <si>
    <t>Slim Fit Jacket. Notched Lapel Collar. Long Sleeves With Buttoned Cuffs. Welt Pocket At Chest And Flap Pockets At Hip. Interior Pocket. Back Vents. Front Button Closure.</t>
  </si>
  <si>
    <t>Https://Www.Zara.Com/Us/En/Stretch-Suit-Jacket-P01564300.Html</t>
  </si>
  <si>
    <t>Stretch Suit Jacket</t>
  </si>
  <si>
    <t>Slim Fit Jacket Made Of Viscose Blend Fabric. Notched Lapel Collar. Long Sleeves With Buttoned Cuffs. Welt Pocket At Chest And Flap Pockets At Hip. Interior Pocket. Back Vents. Front Button Closure.</t>
  </si>
  <si>
    <t>Https://Www.Zara.Com/Us/En/Double-Faced-Jacket-P08281477.Html</t>
  </si>
  <si>
    <t>Double Faced Jacket</t>
  </si>
  <si>
    <t>Jacket Made Of Faux Leather Faux Shearling With Fleece Interior. Tabbed Lapel Collar. Long Sleeves. Zip Pockets At Hip. Front Zip Closure.</t>
  </si>
  <si>
    <t>Https://Www.Zara.Com/Us/En/Contrasting-Collar-Jacket-P06987331.Html</t>
  </si>
  <si>
    <t>Contrasting Collar Jacket</t>
  </si>
  <si>
    <t>Relaxed Fit Jacket. Contrasting Lapel Collar And Long Sleeves With Buttoned Cuffs. Front Pouch Pockets. Interior Pocket. Washed Effect. Front Zip Closure.</t>
  </si>
  <si>
    <t>Front Of Store</t>
  </si>
  <si>
    <t>Https://Www.Zara.Com/Us/En/Faux-Leather-Puffer-Jacket-P08281420.Html</t>
  </si>
  <si>
    <t>Faux Leather Puffer Jacket</t>
  </si>
  <si>
    <t>Faux Leather Puffer Jacket. High Collar And Long Sleeves With Ribbed Interior Cuffs. Welt Pockets At Hip. Interior Pocket. Adjustable Hem With Side Elastics. Front Zip Closure.</t>
  </si>
  <si>
    <t>Https://Www.Zara.Com/Us/En/Suit-Jacket-In-100-Linen-P04307408.Html</t>
  </si>
  <si>
    <t>Suit Jacket In 100% Linen</t>
  </si>
  <si>
    <t>Straight Fit Blazer Made Of Linen. Notched Lapel Collar And Long Sleeves With Buttoned Cuffs. Welt Pocket At Chest And Flap Pockets At Hip. Interior Pocket. Back Vents. Front Button Closure.</t>
  </si>
  <si>
    <t>Https://Www.Zara.Com/Us/En/100-Wool-Suit-Jacket-P05955218.Html</t>
  </si>
  <si>
    <t>100% Wool Suit Jacket</t>
  </si>
  <si>
    <t>Jacket Made Of Italian Wool. Pointed Lapel Collar And Long Sleeves With Buttoned Cuffs. Welt Pocket At Chest And Flap Pockets At Hip. Interior Pocket. Back Vents. Front Button Closure.</t>
  </si>
  <si>
    <t>Https://Www.Zara.Com/Us/En/100-Feather-Fill-Puffer-Jacket-P04302305.Html</t>
  </si>
  <si>
    <t>100% Feather Fill Puffer Jacket</t>
  </si>
  <si>
    <t>Puffer Jacket Made Of Shiny Finish Technical Fabric. Fill Is A Blend Of 80% Down And 20% Feathers. High Collar With Adjustable Hood And Long Sleeves With Elastic Cuffs. Welt Pockets At Hip And Interior Pocket. Adjustable Hem With Side Elastics. Front Zip Closure.</t>
  </si>
  <si>
    <t>Https://Www.Zara.Com/Us/En/Herringbone-Textured-Jacket-P08491401.Html</t>
  </si>
  <si>
    <t>Herringbone Textured Jacket</t>
  </si>
  <si>
    <t>Jacket Made Of Wool Blend Fabric. Lapel Collar And Long Sleeves. Welt Pockets At Hip. Front Zip Closure.</t>
  </si>
  <si>
    <t>Https://Www.Zara.Com/Us/En/Oversized-Cropped-Jacket-Limited-Edition-P04304672.Html</t>
  </si>
  <si>
    <t>Oversized Cropped Jacket Limited Edition</t>
  </si>
  <si>
    <t>Oversized Cropped Jacket. Notched Lapel Collar And Long Sleeves With Buttoned Cuffs. Flap Pockets At Waist Ad Interior Pocket. Front Button Closure.</t>
  </si>
  <si>
    <t>Https://Www.Zara.Com/Us/En/Leather-Biker-Jacket-P05833412.Html</t>
  </si>
  <si>
    <t>Leather Biker Jacket</t>
  </si>
  <si>
    <t>Jacket With Lapel Collar And Snap Button Details. Long Sleeves With Zip Cuffs. Front Zip Pockets And Interior Pocket. Asymmetric Front Closure With Metal Zipper.</t>
  </si>
  <si>
    <t>Https://Www.Zara.Com/Us/En/Cropped-Leather-Jacket-P02521104.Html</t>
  </si>
  <si>
    <t>Cropped Leather Jacket</t>
  </si>
  <si>
    <t>Leather Jacket. Cropped Length. Lapel Collar And Long Sleeves. Front Hidden In-Seam Pockets. Front Zip Closure.</t>
  </si>
  <si>
    <t>Https://Www.Zara.Com/Us/En/Faux-Leather-Boxy-Fit-Jacket-P08281654.Html</t>
  </si>
  <si>
    <t>Faux Leather Boxy Fit Jacket</t>
  </si>
  <si>
    <t>Boxy Fit Jacket. Lapel Collar And Long Sleeves With Buttoned Cuffs. Welt Pockets At Hip. Front Button Closure.</t>
  </si>
  <si>
    <t>Https://Www.Zara.Com/Us/En/Faux-Leather-Jacket-P03427320.Html</t>
  </si>
  <si>
    <t>Faux Leather Jacket</t>
  </si>
  <si>
    <t>Jacket Made Of Faux Leather Fabric. Lapel Collar With Snap Button Details. Long Sleeves With Zip Cuffs. Front Zip Pockets At Chest And Hip. Interior Pocket. Asymmetric Front Closure With Metal Zipper.</t>
  </si>
  <si>
    <t>Https://Www.Zara.Com/Us/En/Faux-Suede-Bomber-Jacket-P06318600.Html</t>
  </si>
  <si>
    <t>Faux Suede Bomber Jacket</t>
  </si>
  <si>
    <t>Jacket Made Of Faux Suede Fabric. Ribbed Elastic High Collar And Long Sleeve. Welt Pockets At Hip. Rib Trim. Front Zip Closure.</t>
  </si>
  <si>
    <t>Https://Www.Zara.Com/Us/En/Denim-Bomber-Jacket-P00621400.Html</t>
  </si>
  <si>
    <t>Denim Bomber Jacket</t>
  </si>
  <si>
    <t>Jacket Made Of Denim Fabric With Padded Interior. Rib Elastic Collar And Long Sleeves. Welt Pockets At Hip And Interior Pocket. Elastic Hem. All-Over Contrasting Topstitching Details. Front Zip Closure.</t>
  </si>
  <si>
    <t>Https://Www.Zara.Com/Us/En/Boucle-Textured-Jacket-P08491402.Html</t>
  </si>
  <si>
    <t>Bouclã‰ Textured Jacket</t>
  </si>
  <si>
    <t>Cropped Jacket Made With Wool Blend Fabric. High Collar And Long Sleeves With Elastic Cuffs. Front Patch Pockets With Flaps. Elastic Hem. Front Snap Button Closure.</t>
  </si>
  <si>
    <t>Https://Www.Zara.Com/Us/En/Suit-Jacket-In-100-Linen-P04307443.Html</t>
  </si>
  <si>
    <t>Straight Fit Blazer Made Of Linen. Notched Lapel Collar And Long Sleeves With Buttoned Cuffs. Flap Pockets At Hip. Interior Pocket. Back Vents. Front Button Closure.</t>
  </si>
  <si>
    <t>Https://Www.Zara.Com/Us/En/Jacquard-Denim-Jacket-P07627402.Html</t>
  </si>
  <si>
    <t>Jacquard Denim Jacket</t>
  </si>
  <si>
    <t>Lapel Collar Jacket With Long Sleeves With Buttoned Cuffs. Patch Pockets With Flaps At Chest And Side Pockets At Hip. Front Hidden Button Closure.</t>
  </si>
  <si>
    <t>Https://Www.Zara.Com/Us/En/Padded-Denim-Jacket-P01538413.Html</t>
  </si>
  <si>
    <t>Padded Denim Jacket</t>
  </si>
  <si>
    <t>Cropped Jacket With Lightly Quilted Interior. Lapel Collar And Long Sleeves. Flap Patch Pockets At Hip. Washed Effect. Rib Hems. Front Zip Closure.</t>
  </si>
  <si>
    <t>Https://Www.Zara.Com/Us/En/Leather-Jacket-P05479400.Html</t>
  </si>
  <si>
    <t>Leather Jacket</t>
  </si>
  <si>
    <t>Relaxed Fit Jacket In Leather. Spread Collar And Long Sleeves With Slit Cuffs With Button Closure. Patch Pockets At Hip. Back Vents. Front Button Closure.</t>
  </si>
  <si>
    <t>Https://Www.Zara.Com/Us/En/Lightweight-Bomber-Jacket-P08281315.Html</t>
  </si>
  <si>
    <t>Lightweight Bomber Jacket</t>
  </si>
  <si>
    <t>Lightweight Jacket Made Of Technical Fabric. Round Neck And Long Sleeves. Welt Pockets At Hip. Interior Pocket. Rib Trim. Front Zip Closure.</t>
  </si>
  <si>
    <t>Https://Www.Zara.Com/Us/En/Suit-Jacket-P04303266.Html</t>
  </si>
  <si>
    <t>Suit Jacket</t>
  </si>
  <si>
    <t>Straight Fit Jacket Made Of Dense Stretch Fabric. Notched Lapel Collar And Long Sleeves With Buttoned Cuffs. Welt Pocket At Chest And Flap Pockets At Hip. Interior Pocket. Back Vents. Front Button Closure.</t>
  </si>
  <si>
    <t>Https://Www.Zara.Com/Us/En/Faux-Leather-Bomber-Jacket-P03918420.Html</t>
  </si>
  <si>
    <t>Faux Leather Bomber Jacket</t>
  </si>
  <si>
    <t>Jacket Made Of Faux Leather Fabric. High Collar And Long Sleeves. Welt Pockets At Hip And Interior Pocket. Rib Trim. Front Zip Closure.</t>
  </si>
  <si>
    <t>Https://Www.Zara.Com/Us/En/Patch-Bomber-Jacket-P03918330.Html</t>
  </si>
  <si>
    <t>Patch Bomber Jacket</t>
  </si>
  <si>
    <t>Varsity Jacket Made Of Faux Suede Fabric. Double Welt Pockets At Hip And Interior Pocket. Front And Back Contrasting Patch Appliquã©S And Embroidery. Rib Trim. Front Snap Button Closure.</t>
  </si>
  <si>
    <t>Https://Www.Zara.Com/Us/En/Stretch-Pocket-Overshirt-P07484478.Html</t>
  </si>
  <si>
    <t>Stretch Pocket Overshirt</t>
  </si>
  <si>
    <t>Overshirt Made Of Stretchy Fabric. Lapel Collar And Long Sleeves With Snap Buttoned Cuffs. Chest Patch Pockets. Front Snap Button Closure.</t>
  </si>
  <si>
    <t>Https://Www.Zara.Com/Us/En/Rib-Collar-Jacket-P08281410.Html</t>
  </si>
  <si>
    <t>Rib Collar Jacket</t>
  </si>
  <si>
    <t>Jacket Made Of Technical Fabric With Padded Interior. Tonal Elastic Rib High Collar. Long Sleeves. Welt Pockets At Hip And Interior Pocket. Interior Elastic Finish. Front Zip Closure.</t>
  </si>
  <si>
    <t>Https://Www.Zara.Com/Us/En/Faux-Leather-Oversized-Jacket-Limited-Edition-P07380310.Html</t>
  </si>
  <si>
    <t>Faux Leather Oversized Jacket Limited Edition</t>
  </si>
  <si>
    <t>Oversized Jacket. Notched Lapel Collar And Long Sleeves. Flap Pockets At Hip And Interior Pocket. Front Button Closure.</t>
  </si>
  <si>
    <t>Https://Www.Zara.Com/Us/En/Contrasting-Patches-Bomber-Jacket-P06318411.Html</t>
  </si>
  <si>
    <t>Contrasting Patches Bomber Jacket</t>
  </si>
  <si>
    <t>Varsity Jacket With Elastic Collar And Long Sleeves. Welt Pockets At Hip And Interior Pocket. Embroidered Appliquã© And Contrast Front And Back Patches. Rib Trim. Front Snap Button Closure.</t>
  </si>
  <si>
    <t>Https://Www.Zara.Com/Us/En/Patch-Bomber-Jacket-P03833404.Html</t>
  </si>
  <si>
    <t>Varsity Jacket With Padded Interior. Rib Elastic Collar And Long Sleeves In Contrast Faux Leather. Double Welt Pockets At Hip And Interior Pocket. Contrasting Patch Appliquã©S At Front And Back. Rib Trim. Front Snap Button Closure.</t>
  </si>
  <si>
    <t>Https://Www.Zara.Com/Us/En/Cropped-Bomber-Jacket-Limited-Edition-P08281600.Html</t>
  </si>
  <si>
    <t>Cropped Bomber Jacket Limited Edition</t>
  </si>
  <si>
    <t>Jacket With Lightly Padded Interior. Rib Collar And Long Sleeves. Flap Pockets At Waist. Rib Trim. Front Asymmetric Zip Closure.</t>
  </si>
  <si>
    <t>Https://Www.Zara.Com/Us/En/Faux-Leather-Puffer-Jacket-P03833302.Html</t>
  </si>
  <si>
    <t>Faux Leather Jacket With Padded Interior. Lapel Collar And Long Sleeves With Snap Buttoned Cuffs. Welt Pockets At Hip And Interior Pocket. Elastic Hem. Front Zip Hidden By A Snap Button Flap.</t>
  </si>
  <si>
    <t>Https://Www.Zara.Com/Us/En/Faux-Leather-Bomber-Jacket-P08281667.Html</t>
  </si>
  <si>
    <t>Jacket Made Of Faux Leather Fabric. Rib Elastic Collar And Long Sleeves. Zip Pockets With Flaps At Hip. Interior Pocket. Elastic Hem. Front Zip Closure.</t>
  </si>
  <si>
    <t>Https://Www.Zara.Com/Us/En/Bomber-Jacket-P06318502.Html</t>
  </si>
  <si>
    <t>Bomber Jacket</t>
  </si>
  <si>
    <t>Varsity Jacket. High Collar And Long Sleeves. Welt Pockets At Hip And Interior Pocket. Rib Trim. Front Snap Button Closure.</t>
  </si>
  <si>
    <t>Https://Www.Zara.Com/Us/En/Faux-Suede-Jacket-P08281652.Html</t>
  </si>
  <si>
    <t>Faux Suede Jacket</t>
  </si>
  <si>
    <t>Lapel Collar Jacket With Long Sleeves With Buttoned Cuffs. Flap Pockets At Chest And Welt Pockets At Hip. Front Button Closure.</t>
  </si>
  <si>
    <t>Https://Www.Zara.Com/Us/En/Faux-Suede-Bomber-Jacket-P08574500.Html</t>
  </si>
  <si>
    <t>Jacket Made Of Faux Suede Fabric. Rib Elastic Collar And Long Sleeves. Welt Pockets At Hip. Rib Trim. Front Zip Closure.</t>
  </si>
  <si>
    <t>Https://Www.Zara.Com/Us/En/Suede-Jacket-P02521102.Html</t>
  </si>
  <si>
    <t>Suede Jacket</t>
  </si>
  <si>
    <t>Jacket Made Of Suede. Cropped Length. Lapel Collar And Long Sleeves. Front Hidden In-Seam Pockets. Front Zip Closure.</t>
  </si>
  <si>
    <t>Https://Www.Zara.Com/Us/En/Contrasting-Collar-Jacket-P01538369.Html</t>
  </si>
  <si>
    <t>Jacket With Lightly Padded Interior. Contrasting Lapel Collar. Long Sleeves With Buttoned Cuffs. Washed Effect. Double Welt Pockets At Chest And Hip. Front Zip Closure.</t>
  </si>
  <si>
    <t>Https://Www.Zara.Com/Us/En/Textured-Jacket-P04302457.Html</t>
  </si>
  <si>
    <t>Textured Jacket</t>
  </si>
  <si>
    <t>Jacket Made Of Textured Fabric. Lapel Collar And Long Sleeves With Buttoned Cuffs. Patch Pockets At Chest And Hidden Pockets At Hip. Side Vents At Hem. Front Button Closure.</t>
  </si>
  <si>
    <t>Https://Www.Zara.Com/Us/En/Cropped-Textured-Jacket-P01538410.Html</t>
  </si>
  <si>
    <t>Cropped Textured Jacket</t>
  </si>
  <si>
    <t>Jacket Made Of Dense Cotton Fabric Cut On The Bias. Lapel Collar And Long Sleeves With Buttoned Cuffs. Welt Pockets At Hip And Interior Pocket. Cropped Length. Front Zip Closure.</t>
  </si>
  <si>
    <t>Https://Www.Zara.Com/Us/En/Pocket-Puffer-Jacket-P08281439.Html</t>
  </si>
  <si>
    <t>Pocket Puffer Jacket</t>
  </si>
  <si>
    <t>Quilted Jacket Made Of Technical Fabric. High Collar And Long Sleeves. Flap Pocket At Chest And Hidden In-Seam Pockets At Side Hip. Interior Pocket. Interior Elastic Hem. Cropped Length. Front Zip Closure.</t>
  </si>
  <si>
    <t>Https://Www.Zara.Com/Us/En/Technical-Jacket-With-Pockets-P03286501.Html</t>
  </si>
  <si>
    <t>Technical Jacket With Pockets</t>
  </si>
  <si>
    <t>Jacket Made Of Technical Fabric With Quilted Interior. Lapel Collar And Long Sleeves. Flap Patch Pockets At Hip. Rib Trim. Front Button Closure.</t>
  </si>
  <si>
    <t>Https://Www.Zara.Com/Us/En/Faux-Leather-Jacket-P08281345.Html</t>
  </si>
  <si>
    <t>Jacket Made Of Faux Leather Fabric. Lapel Collar And Long Sleeves With Snap Buttoned Cuffs. Welt Pockets At Hip. Front Snap Button Closure.</t>
  </si>
  <si>
    <t>Https://Www.Zara.Com/Us/En/Faux-Suede-Jacket-P03548689.Html</t>
  </si>
  <si>
    <t>Https://Www.Zara.Com/Us/En/Ripped-Denim-Jacket-P01538470.Html</t>
  </si>
  <si>
    <t>Ripped Denim Jacket</t>
  </si>
  <si>
    <t>Denim Jacket With Lapel Collar And Long Sleeves With Buttoned Cuffs. Flap Pockets At Chest And Welt Pockets At Hip. All Over Washed Effect And Rips. Front Button Closure.</t>
  </si>
  <si>
    <t>Https://Www.Zara.Com/Us/En/Textured-Pocket-Jacket-P03918500.Html</t>
  </si>
  <si>
    <t>Textured Pocket Jacket</t>
  </si>
  <si>
    <t>Jacket With Lightly Padded Interior. Lapel Collar And Long Sleeves With Buttoned Cuffs. Flap Pockets At Chest And Welt Pockets At Hip. Front Button Closure.</t>
  </si>
  <si>
    <t>Https://Www.Zara.Com/Us/En/Faux-Suede-Patch-Jacket-P08281357.Html</t>
  </si>
  <si>
    <t>Faux Suede Patch Jacket</t>
  </si>
  <si>
    <t>Varsity Jacket Made Of Faux Suede Fabric. Lapel Collar And Long Sleeves. Double Welt Pockets At Hip And Interior Pocket. Front Contrasting Patch Appliquã©S And Embroidery. Rib Trim. Front Snap Button Closure.</t>
  </si>
  <si>
    <t>Https://Www.Zara.Com/Us/En/Puffer-Jacket-With-Pouch-Pocket-P00155401.Html</t>
  </si>
  <si>
    <t>Puffer Jacket With Pouch Pocket</t>
  </si>
  <si>
    <t>Jacket Made Of Technical Fabric With Padded Interior. High Collar With Front Zip Closure And Long Sleeves With Elastic Strap Cuffs. Front And Back Contrast Embroidered Text. Zip Pockets At Hip. Adjustable Elastic Strap At Hem With Side Zippers And Strap.</t>
  </si>
  <si>
    <t>Https://Www.Zara.Com/Us/En/Bomber-Jacket-P05039440.Html</t>
  </si>
  <si>
    <t>Boxy Bomber Jacket. Rib Elastic Collar And Long Sleeves. Welt Pockets At Hip. Elasticized Trim. Front Zip Closure.</t>
  </si>
  <si>
    <t>Https://Www.Zara.Com/Us/En/Textured-Weave-Overshirt-P01608101.Html</t>
  </si>
  <si>
    <t>Textured Weave Overshirt</t>
  </si>
  <si>
    <t>Relaxed Fit Overshirt. Lapel Collar And Long Sleeves With Buttoned Cuffs. Side Hidden In-Seam Pockets. Front Button Closure.</t>
  </si>
  <si>
    <t>Https://Www.Zara.Com/Us/En/Straight-Suit-Jacket-P04143291.Html</t>
  </si>
  <si>
    <t>Straight Suit Jacket</t>
  </si>
  <si>
    <t>Straight Fit Blazer. Notched Lapel Collar And Long Sleeves With Buttoned Cuffs. Flap Pockets At Hip. Interior Pocket. Central Back Vent At Hem. Front Button Closure.</t>
  </si>
  <si>
    <t>Https://Www.Zara.Com/Us/En/Hooded-Quilted-Jacket-P00029501.Html</t>
  </si>
  <si>
    <t>Hooded Quilted Jacket</t>
  </si>
  <si>
    <t>Puffer Jacket With High Collar And Adjustable Hood. Long Sleeves With Interior Rib Cuffs. Welt Pockets At Hip And Interior Pocket. Adjustable Hem With Side Elastics. Front Zip Hidden By A Snap Button Flap.</t>
  </si>
  <si>
    <t>Https://Www.Zara.Com/Us/En/Lightweight-Puffer-Jacket-P04302520.Html</t>
  </si>
  <si>
    <t>Lightweight Puffer Jacket</t>
  </si>
  <si>
    <t>Padded Jacket Made Of Technical Fabric. High Collar And Long Sleeves. Welt Pockets At Hip. Elasticized Trim. Front Zip Closure.</t>
  </si>
  <si>
    <t>Https://Www.Zara.Com/Us/En/Cotton-Blend-Bomber-Jacket-P06518350.Html</t>
  </si>
  <si>
    <t>Cotton Blend Bomber Jacket</t>
  </si>
  <si>
    <t>Jacket Made Of Cotton Blend Fabric. High Collar And Long Sleeves. Welt Pockets At Hip. Rib Trim. Cropped Length. Front Zip Closure.</t>
  </si>
  <si>
    <t>Https://Www.Zara.Com/Us/En/Pocket-Jacket-P06318507.Html</t>
  </si>
  <si>
    <t>Pocket Jacket</t>
  </si>
  <si>
    <t>Jacket Made Of Dense Technical Fabric. Lapel Collar And Long Sleeves With Buttoned Cuffs. Multi-Functional Front Pockets. Front Zip Hidden By A Snap Button Flap.</t>
  </si>
  <si>
    <t>Https://Www.Zara.Com/Us/En/Oversized-Bomber-Jacket-P08281311.Html</t>
  </si>
  <si>
    <t>Oversized Bomber Jacket</t>
  </si>
  <si>
    <t>Oversized Jacket Made Of Technical Fabric. High Collar And Long Sleeves With Pocket Detail. Welt Pockets At Hip And Interior Pocket. Rib Trim. Adjustable Asymmetric Hem With Side Zippers. Front Zip Closure.</t>
  </si>
  <si>
    <t>Https://Www.Zara.Com/Us/En/Embroidered-Patch-Jacket-P05320345.Html</t>
  </si>
  <si>
    <t>Embroidered Patch Jacket</t>
  </si>
  <si>
    <t>Roomy Jacket Made Of Lightweight Fabric. Lapel Collar And Long Sleeves With Elastic Cuffs. Contrasting Patch Appliquã©S With Embroidery At Front And Back. Front Pouch Pocket. Elastic Hem. Front Zip Closure.</t>
  </si>
  <si>
    <t>Https://Www.Zara.Com/Us/En/Acid-Wash-Denim-Jacket-P06688401.Html</t>
  </si>
  <si>
    <t>Acid Wash Denim Jacket</t>
  </si>
  <si>
    <t>Jacket Made Of Cotton Denim. Lapel Collar And Long Sleeves With Buttoned Cuffs. Patch Pockets At Chest And Side Pockets At Hip. Washed Effect. Front Zip Closure.</t>
  </si>
  <si>
    <t>Https://Www.Zara.Com/Us/En/Vintage-Effect-Leather-Bomber-Jacket-P02521300.Html</t>
  </si>
  <si>
    <t>Vintage Effect Leather Bomber Jacket</t>
  </si>
  <si>
    <t>Https://Www.Zara.Com/Us/En/Textured-Denim-Jacket-Limited-Edition-P01538430.Html</t>
  </si>
  <si>
    <t>Textured Denim Jacket Limited Edition</t>
  </si>
  <si>
    <t>Lapel Collar Jacket With Long Sleeves With Buttoned Cuffs. Flap Pockets At Chest And Welt Pockets At Hip. All Over Washed And Uneven Textured Effect. Front Button Closure.</t>
  </si>
  <si>
    <t>Https://Www.Zara.Com/Us/En/Wool-Blend-Jacket-P09621448.Html</t>
  </si>
  <si>
    <t>Wool Blend Jacket</t>
  </si>
  <si>
    <t>Jacket Made Of Wool Blend Fabric. Lapel Collar And Long Sleeves. Welt Pockets At Hip And Interior Pocket. Rib Trim. Front Zip Closure.</t>
  </si>
  <si>
    <t>Https://Www.Zara.Com/Us/En/Cotton---Linen-Blend-Jacket-P00706103.Html</t>
  </si>
  <si>
    <t>Cotton - Linen Blend Jacket</t>
  </si>
  <si>
    <t>Jacket Made Of Cotton And Linen Blend Fabric. Lapel Collar And Long Sleeves With Buttoned Cuffs. Patch Pocket At Chest And Side Pockets At Hip. Elastic Hem. Front Zip Closure.</t>
  </si>
  <si>
    <t>Https://Www.Zara.Com/Us/En/Fleece-Bomber-Jacket-P08281405.Html</t>
  </si>
  <si>
    <t>Fleece Bomber Jacket</t>
  </si>
  <si>
    <t>Jacket Made Of Faux Shearling Fabric. Rib Elastic Collar And Long Sleeves. Welt Pockets At Hip And Interior Pocket. Rib Trim. Front Zip Closure.</t>
  </si>
  <si>
    <t>Https://Www.Zara.Com/Us/En/Zippered-Jacket-P04087418.Html</t>
  </si>
  <si>
    <t>Zippered Jacket</t>
  </si>
  <si>
    <t>Lapel Collar Jacket With Long Sleeves. Front Pouch Pockets. Front Zip Closure.</t>
  </si>
  <si>
    <t>Https://Www.Zara.Com/Us/En/Cotton-Jacket-P00706301.Html</t>
  </si>
  <si>
    <t>Cotton Jacket</t>
  </si>
  <si>
    <t>Lapel Collar Jacket With Long Sleeves With Elastic Cuffs. Patch Pockets At Hip. Elastic Hem. Front Snap Button Closure.</t>
  </si>
  <si>
    <t>Https://Www.Zara.Com/Us/En/Wool-Blend-Textured-Jacket-P04296310.Html</t>
  </si>
  <si>
    <t>Wool Blend Textured Jacket</t>
  </si>
  <si>
    <t>Jacket Made Of Wool Blend Fabric. Pointed Lapel Collar And Long Sleeves With Buttoned Cuffs. Welt Pockets At Chest And Flap Pockets At Hip. Interior Pocket. Back Vents. Front Double Breasted Button Closure.</t>
  </si>
  <si>
    <t>Https://Www.Zara.Com/Us/En/Contrast-Jacquard-Jacket-P04087423.Html</t>
  </si>
  <si>
    <t>Contrast Jacquard Jacket</t>
  </si>
  <si>
    <t>Full Cut Jacket With Lapel Collar And Long Sleeves. Front Button Closure.</t>
  </si>
  <si>
    <t>Https://Www.Zara.Com/Us/En/Cropped-Overshirt-P04432403.Html</t>
  </si>
  <si>
    <t>Cropped Overshirt</t>
  </si>
  <si>
    <t>Cropped Overshirt Made Of Contrast Double Faced Fabric. Lapel Collar And Long Sleeves With Buttoned Cuffs. Chest Patch Pocket. Adjustable Hem With Side Elastics. Front Button Closure Partially Hidden By A Flap.</t>
  </si>
  <si>
    <t>Https://Www.Zara.Com/Us/En/Contrasting-Patches-Hooded-Jacket-P03833400.Html</t>
  </si>
  <si>
    <t>Contrasting Patches Hooded Jacket</t>
  </si>
  <si>
    <t>Varsity Jacket With Stretchy Collar And Contrasting Hood. Long Sleeves. Welt Pockets At Hip And Interior Pocket. Embroidered Appliquã© And Contrast Front And Back Patches. Rib Trim. Front Snap Button Closure.</t>
  </si>
  <si>
    <t>Https://Www.Zara.Com/Us/En/Utility-Pocket-Jacket-P05520451.Html</t>
  </si>
  <si>
    <t>Utility Pocket Jacket</t>
  </si>
  <si>
    <t>Cropped Jacket. Lapel Collar And Long Sleeves. Front Utility Pockets With Zip Closure. Washed Effect. Elastic Hem. Adjustable Hem With Side Elastics. Front Zip Closure.</t>
  </si>
  <si>
    <t>Https://Www.Zara.Com/Us/En/Lightweight-Bomber-Jacket-P04302404.Html</t>
  </si>
  <si>
    <t>Https://Www.Zara.Com/Us/En/Wool-Blend-Jacket-P05854654.Html</t>
  </si>
  <si>
    <t>Lapel Collar Jacket With Long Sleeves With Buttoned Cuffs. Chest Patch Pockets And Welt Pockets At Hip. Front Button Closure.</t>
  </si>
  <si>
    <t>Https://Www.Zara.Com/Us/En/Technical-Padded-Jacket-P06518501.Html</t>
  </si>
  <si>
    <t>Technical Padded Jacket</t>
  </si>
  <si>
    <t>Jacket Made Of Technical Fabric With Padded Interior. High Collar With Foldable Interior Hood. Long Sleeves With Interior Rib Cuffs. Front Pockets With Hidden Zip Closure And Interior Pocket Detail. Adjustable Hem With Side Elastics. Front Zip Hidden By A Snap Button Flap.</t>
  </si>
  <si>
    <t>Https://Www.Zara.Com/Us/En/Mixed-Collar-Waxed-Jacket-P06861405.Html</t>
  </si>
  <si>
    <t>Mixed Collar Waxed Jacket</t>
  </si>
  <si>
    <t>Jacket Made Of Waxed Finish Fabric With Lightly Padded Interior. Contrast Fabric Lapel Collar. Long Sleeves. Patch Pockets At Hip. Interior Pocket. Slightly Cropped Length. Front Hidden Zip And Button Closure.</t>
  </si>
  <si>
    <t>Https://Www.Zara.Com/Us/En/Contrasting-Patches-Bomber-Jacket-P03833401.Html</t>
  </si>
  <si>
    <t>Https://Www.Zara.Com/Us/En/Padded-Bomber-Jacket-P03918620.Html</t>
  </si>
  <si>
    <t>Padded Bomber Jacket</t>
  </si>
  <si>
    <t>Quilted Jacket Made Of Technical Fabric. Lapel Collar And Long Sleeves. Welt Pockets At Hip. Rib Trim. Front Zip Closure.</t>
  </si>
  <si>
    <t>Https://Www.Zara.Com/Us/En/Technical-Padded-Jacket-P03833311.Html</t>
  </si>
  <si>
    <t>Jacket Made Of Technical Fabric With Padded Interior. Lapel Collar And Long Sleeves With Elastic Cuffs. Welt Pockets At Hip And Interior Pocket. Adjustable Drawstring Hem. Front Snap Button Closure.</t>
  </si>
  <si>
    <t>Https://Www.Zara.Com/Us/En/Pocket-Denim-Jacket-P00840482.Html</t>
  </si>
  <si>
    <t>Pocket Denim Jacket</t>
  </si>
  <si>
    <t>Slightly Cropped Denim Jacket. Lapel Collar And Long Sleeves With Buttoned Cuffs. Flap Patch Pocket At Chest And Side Hip. Washed Effect. Front Button Closure.</t>
  </si>
  <si>
    <t>Https://Www.Zara.Com/Us/En/Boxy-Fit-Denim-Jacket-P00840402.Html</t>
  </si>
  <si>
    <t>Boxy Fit Denim Jacket</t>
  </si>
  <si>
    <t>Boxy Fit Jacket. Lapel Collar And Long Sleeves With Buttoned Cuffs. Patch Pockets At Hip. Washed Effect.Asymmetric Hem With Side Vents. Front Button Closure.</t>
  </si>
  <si>
    <t>Https://Www.Zara.Com/Us/En/Faux-Shearling-Plaid-Jacket-P00993305.Html</t>
  </si>
  <si>
    <t>Faux Shearling Plaid Jacket</t>
  </si>
  <si>
    <t>Jacket Made Of Faux Shearling Fabric. V-Neckline And Long Sleeves With Elastic Cuffs. Lined Interior With Structured Mesh Fabric. Welt Pockets At Hip. Adjustable Hem With Side Elastics. Front Snap Button Closure.</t>
  </si>
  <si>
    <t>Https://Www.Zara.Com/Us/En/Embroidered-Forest-Jacket-P02795407.Html</t>
  </si>
  <si>
    <t>Embroidered Forest Jacket</t>
  </si>
  <si>
    <t>Jacket With Lightly Padded Interior. Corduroy Lapel Collar. Long Sleeves. Patch Pockets At Hip. Front Button Closure.</t>
  </si>
  <si>
    <t>Https://Www.Zara.Com/Us/En/Pocket-Overshirt-P05070605.Html</t>
  </si>
  <si>
    <t>Pocket Overshirt</t>
  </si>
  <si>
    <t>Cropped Overshirt. Lapel Collar And Long Sleeves With Buttoned Cuffs. Front Patch Pockets. Irregular Finished Seams. Front Button Closure.</t>
  </si>
  <si>
    <t>Https://Www.Zara.Com/Us/En/Boucle-Textured-Vest-P01437303.Html</t>
  </si>
  <si>
    <t>Boucle Textured Vest</t>
  </si>
  <si>
    <t>Vest Made Of Viscose And Wool Blend Fabric. V-Neckline. Patch Pockets At Hip. Front Zip Closure.</t>
  </si>
  <si>
    <t>Https://Www.Zara.Com/Us/En/Color-Block-Puffer-Jacket-P08281365.Html</t>
  </si>
  <si>
    <t>Color Block Puffer Jacket</t>
  </si>
  <si>
    <t>Jacket Made Of Technical Fabric With Padded Interior. High Collar And Long Sleeves With Elastic Cuffs. Front Pockets With Hidden Zip Closure. Elastic Hem. Front Zip Closure.</t>
  </si>
  <si>
    <t>Https://Www.Zara.Com/Us/En/Longline-Quilted-Jacket-P05071688.Html</t>
  </si>
  <si>
    <t>Longline Quilted Jacket</t>
  </si>
  <si>
    <t>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t>
  </si>
  <si>
    <t>Https://Www.Zara.Com/Us/En/Wool-Blend-Suit-Jacket-P04156504.Html</t>
  </si>
  <si>
    <t>Wool Blend Suit Jacket</t>
  </si>
  <si>
    <t>Straight Fit Jacket Made Of Wool Blend Fabric. Notched Lapel Collar And Long Sleeves With Buttoned Cuffs. Welt Pockets At Chest And Flap Pockets At Hip. Interior Pocket. Central Vent At Back Hem. Front Button Closure.</t>
  </si>
  <si>
    <t>Https://Www.Zara.Com/Us/En/Hooded-Knit-Cardigan-P02621407.Html</t>
  </si>
  <si>
    <t>Hooded Knit Cardigan</t>
  </si>
  <si>
    <t>Cotton Knit Jacket. Hooded Collar And Long Sleeves. Rib Trim. Front Pouch Pockets. Rib Trim. Front Zip Closure.</t>
  </si>
  <si>
    <t>Https://Www.Zara.Com/Us/En/Hooded-Technical-Jacket-P01538301.Html</t>
  </si>
  <si>
    <t>Hooded Technical Jacket</t>
  </si>
  <si>
    <t>Jacket Made Of Technical Fabric With Brushed Interior. High Collar With Adjustable Hood. Long Sleeves With Cuffs And Adhesive Straps. Zip Pockets At Chest And Hip. Front Zip Closure.</t>
  </si>
  <si>
    <t>Https://Www.Zara.Com/Us/En/Houndstooth-Suit-Jacket-P04285498.Html</t>
  </si>
  <si>
    <t>Houndstooth Suit Jacket</t>
  </si>
  <si>
    <t>Straight Fit Blazer. Notched Lapel Collar And Long Sleeves With Buttoned Cuffs. Welt Pocket At Chest And Flap Pockets At Hip. Interior Pocket. Back Vents. Front Button Closure.</t>
  </si>
  <si>
    <t>Https://Www.Zara.Com/Us/En/Bomber-Jacket-P05344402.Html</t>
  </si>
  <si>
    <t>Jacket With Padded Interior. Rib Elastic Collar And Long Sleeves. Flap Pockets At Hip And Interior Pocket. Rib Trim. Front Zip Closure.</t>
  </si>
  <si>
    <t>Https://Www.Zara.Com/Us/En/Hooded-Technical-Jacket-P00155502.Html</t>
  </si>
  <si>
    <t>Cropped Jacket Made Of Technical Fabric. Hooded High Collar And Long Sleeves With Adjustable Snap Button Cuffs. Front Patch Pockets With Flaps At Hips. Adjustable Hem With Side Elastics. Front Zip Hidden By A Snap Button Flap.</t>
  </si>
  <si>
    <t>Https://Www.Zara.Com/Us/En/Hooded-Technical-Jacket-P08281355.Html</t>
  </si>
  <si>
    <t>Jacket Made Of Technical Fabric. High Collar With Adjustable Drawstring Hood. Long Sleeves With Rib Cuffs. Chest Welt Pocket And Hip Patch Pockets. Interior Pocket. Adjustable Hem With Elastics At Sides. Front Zip Hidden By A Snap Button Flap.</t>
  </si>
  <si>
    <t>Https://Www.Zara.Com/Us/En/Washed-Effect-Bomber-Jacket-P08281307.Html</t>
  </si>
  <si>
    <t>Washed Effect Bomber Jacket</t>
  </si>
  <si>
    <t>Jacket Made Of Technical Fabric. Lapel Collar And Long Sleeves With Pocket Detail. Welt Pockets At Hip And Interior Pocket. Washed Effect. Elasticized Trim. Front Zip Hidden By A Snap Button Flap.</t>
  </si>
  <si>
    <t>Https://Www.Zara.Com/Us/En/Washed-Technical-Jacket-P04695300.Html</t>
  </si>
  <si>
    <t>Washed Technical Jacket</t>
  </si>
  <si>
    <t>Jacket Made Of Technical Fabric. High Collar And Long Sleeves With Adjustable Cuffs With Snap Button Straps. Flap Patch Pockets At Hip. Adjustable Drawstring Hem. Washed Effect. Front Zip Hidden By A Snap Button Flap.</t>
  </si>
  <si>
    <t>Https://Www.Zara.Com/Us/En/100-Feather-Fill-Puffer-Jacket-P00155480.Html</t>
  </si>
  <si>
    <t>Puffer Vest Made Of Technical Fabric. Fill Is A Blend Of 60% Down And 40% Feather. Sleeveless Design With High Collar. Zip Pockets At Hip And Interior Pocket. Adjustable Hem With Side Elastics. Front Snap Button Closure.</t>
  </si>
  <si>
    <t>Https://Www.Zara.Com/Us/En/Padded-Bomber-Jacket-P03918400.Html</t>
  </si>
  <si>
    <t>Jacket Made Of Technical Fabric With Lightly Padded Interior. Rib Elastic Collar And Long Sleeves. Zip Pockets At Hip. Elastic Hem. Front Zip Closure.</t>
  </si>
  <si>
    <t>Https://Www.Zara.Com/Us/En/Pocket-Jacket-P04297266.Html</t>
  </si>
  <si>
    <t>Regular Fit Jacket With Lapel Collar And Long Sleeves. Patch Pockets At Chest And Hip. Front Button Closure.</t>
  </si>
  <si>
    <t>Https://Www.Zara.Com/Us/En/Slim-Fit-Suit-Jacket-P04239493.Html</t>
  </si>
  <si>
    <t>Https://Www.Zara.Com/Us/En/Mixed-Collar-Jacket-P03046507.Html</t>
  </si>
  <si>
    <t>Mixed Collar Jacket</t>
  </si>
  <si>
    <t>Jacket Made Of Technical Fabric With Lightly Padded Interior. Rib High Collar. Long Sleeves With Elastic Cuffs. Patch Pockets At Hip. Front Zip Closure.</t>
  </si>
  <si>
    <t>Https://Www.Zara.Com/Us/En/Hooded-Denim-Jacket-P01538428.Html</t>
  </si>
  <si>
    <t>Hooded Denim Jacket</t>
  </si>
  <si>
    <t>Boxy Fit Jacket. High Collar With Adjustable Hood And Long Sleeves With Buttoned Cuffs. Patch Pockets With Flaps At Chest. Front Straps With Multi-Functional Ring. Washed Effect. Front Hidden Zip And Snap Button Closure.</t>
  </si>
  <si>
    <t>Https://Www.Zara.Com/Us/En/Waxed-Effect-Plaid-Jacket-P04272302.Html</t>
  </si>
  <si>
    <t>Waxed Effect Plaid Jacket</t>
  </si>
  <si>
    <t>Cropped Jacket Made Of Cotton With Waxed Finish. Lapel Collar And Long Adjustable Cuffed Sleeves. Welt Pockets At Hip And Interior Pocket. Adjustable Front Drawcord Hem. Front Zip Closure.</t>
  </si>
  <si>
    <t>Https://Www.Zara.Com/Us/En/Wool-Blend-Felt-Texture-Jacket-P04160752.Html</t>
  </si>
  <si>
    <t>Wool Blend Felt Texture Jacket</t>
  </si>
  <si>
    <t>Cropped Jacket Made With Wool Blend Fabric. Lapel Collar And Long Sleeves. Welt Pockets At Hip. Front Hidden Button Closure.</t>
  </si>
  <si>
    <t>Https://Www.Zara.Com/Us/En/Printed-Denim-Overshirt-P02553808.Html</t>
  </si>
  <si>
    <t>Printed Denim Overshirt</t>
  </si>
  <si>
    <t>Boxy Fit Overshirt. Lapel Collar And Short Sleeves. Front Snap Button Closure.</t>
  </si>
  <si>
    <t>Https://Www.Zara.Com/Us/En/Structured-Twill-Overshirt-P06861430.Html</t>
  </si>
  <si>
    <t>Structured Twill Overshirt</t>
  </si>
  <si>
    <t>Regular Fit Overshirt Made Of 22% Wool Fabric. Lapel Collar And Long Sleeves With Buttoned Cuffs. Patch Pocket At Chest And Side Pockets At Hip. Side Vents At Hem. Front Button Closure.</t>
  </si>
  <si>
    <t>Https://Www.Zara.Com/Us/En/Cotton-Overshirt-P09621103.Html</t>
  </si>
  <si>
    <t>Cotton Overshirt</t>
  </si>
  <si>
    <t>Relaxed Fit Overshirt Made With Cotton Fabric. Lapel Collar And Long Sleeves With Buttoned Cuffs. Flap Patch Pockets At Chest And Side Hip Pockets. Front Button Closure.</t>
  </si>
  <si>
    <t>Https://Www.Zara.Com/Us/En/Reversible-Plaid-Overshirt-P09621301.Html</t>
  </si>
  <si>
    <t>Reversible Plaid Overshirt</t>
  </si>
  <si>
    <t>Relaxed Fit Reversible Overshirt. Italian Collar And Long Sleeves With Buttoned Cuffs. Chest Patch Pocket. Front Button Closure.</t>
  </si>
  <si>
    <t>Https://Www.Zara.Com/Us/En/Plaid-Overshirt-P01300100.Html</t>
  </si>
  <si>
    <t>Plaid Overshirt</t>
  </si>
  <si>
    <t>Relaxed Fit Overshirt Made With Cotton Fabric. Lapel Collar And Long Sleeves With Buttoned Cuffs. Patch Pockets At Hip. Washed Effect. Front Button Closure.</t>
  </si>
  <si>
    <t>Https://Www.Zara.Com/Us/En/Pocket-Overshirt-P00706621.Html</t>
  </si>
  <si>
    <t>Relaxed Fit Overshirt. Lapel Collar And Long Sleeves With Adjustable Button Cuffs. Welt Pockets At Hip. Front Zip Hidden By A Snap Button Flap.</t>
  </si>
  <si>
    <t>Https://Www.Zara.Com/Us/En/100-Linen-Overshirt-P04224708.Html</t>
  </si>
  <si>
    <t>100% Linen Overshirt</t>
  </si>
  <si>
    <t>Relaxed Fit Overshirt Made Of Linen Fabric. Lapel Collar And Long Sleeves With Buttoned Cuffs. Chest Patch Pockets. Front Button Closure.</t>
  </si>
  <si>
    <t>Https://Www.Zara.Com/Us/En/Plaid-Overshirt-P08281303.Html</t>
  </si>
  <si>
    <t>Relaxed Fit Overshirt Made Of Viscose Blend Fabric. Lapel Collar And Long Sleeves With Buttoned Cuffs. Chest Patch Pocket. Front Button Closure.</t>
  </si>
  <si>
    <t>Https://Www.Zara.Com/Us/En/Pocket-Denim-Overshirt-P01472403.Html</t>
  </si>
  <si>
    <t>Pocket Denim Overshirt</t>
  </si>
  <si>
    <t>Boxy Fit Overshirt. Lapel Collar And Long Sleeves With Buttoned Cuffs. Chest Patch Pockets. Washed Effect. Front Button Closure.</t>
  </si>
  <si>
    <t>Https://Www.Zara.Com/Us/En/Faux-Suede-Overshirt-P03715303.Html</t>
  </si>
  <si>
    <t>Faux Suede Overshirt</t>
  </si>
  <si>
    <t>Relaxed Fit Overshirt. Lapel Collar And Long Sleeves. Chest Patch Pocket. Front Snap Button Closure.</t>
  </si>
  <si>
    <t>Https://Www.Zara.Com/Us/En/Plaid-Overshirt-P00794432.Html</t>
  </si>
  <si>
    <t>Regular Fit Overshirt. Lapel Collar And Long Sleeves With Buttoned Cuffs. Front Zip Closure.</t>
  </si>
  <si>
    <t>Https://Www.Zara.Com/Us/En/Textured-Pocket-Overshirt-P01934436.Html</t>
  </si>
  <si>
    <t>Textured Pocket Overshirt</t>
  </si>
  <si>
    <t>Overshirt Made Of Diagonal Textured Cotton Fabric. Lapel Collar And Long Sleeves With Buttoned Cuffs. Patch Pockets At Hip. Front Button Closure.</t>
  </si>
  <si>
    <t>Https://Www.Zara.Com/Us/En/Pocket-Overshirt-P04466468.Html</t>
  </si>
  <si>
    <t>Relaxed Fit Overshirt Made Of 25% Wool Fabric. Lapel Collar And Long Sleeves With Buttoned Cuffs. Patch Pocket At Chest And Side Pockets At Hip. Front Button Closure.</t>
  </si>
  <si>
    <t>Https://Www.Zara.Com/Us/En/Overshirt-P00706623.Html</t>
  </si>
  <si>
    <t>Overshirt</t>
  </si>
  <si>
    <t>Relaxed Fit Overshirt Made Of Stretch Fabric. Lapel Collar And Long Sleeves With Buttoned Cuffs. Chest Patch Pocket. Front Button Closure.</t>
  </si>
  <si>
    <t>Https://Www.Zara.Com/Us/En/Plaid-Overshirt-P04266381.Html</t>
  </si>
  <si>
    <t>Cropped Overshirt. Lapel Collar And Long Sleeves With Buttoned Cuffs. Chest Patch Pocket. Irregular Trim. Front Button Closure.</t>
  </si>
  <si>
    <t>Https://Www.Zara.Com/Us/En/Pocket-Overshirt-P05070314.Html</t>
  </si>
  <si>
    <t>Overshirt With Lapel Collar And Long Sleeves With Buttoned Cuffs. Chest Patch Pocket. Front Button Closure.</t>
  </si>
  <si>
    <t>Https://Www.Zara.Com/Us/En/Zippered-Wool-Blend-Overshirt-P05854401.Html</t>
  </si>
  <si>
    <t>Zippered Wool Blend Overshirt</t>
  </si>
  <si>
    <t>Relaxed Fit Overshirt Made Of Wool Blend Fabric. Lapel Collar And Long Sleeves With Buttoned Cuffs. Welt Pockets At Hip. Front Zip Closure.</t>
  </si>
  <si>
    <t>Https://Www.Zara.Com/Us/En/Geometric-Jacquard-Overshirt-P04196412.Html</t>
  </si>
  <si>
    <t>Geometric Jacquard Overshirt</t>
  </si>
  <si>
    <t>Relaxed Fit Overshirt Made With Cotton Fabric. Lapel Collar And Long Sleeves With Buttoned Cuffs. Welt Pockets At Hip. Front Button Closure.</t>
  </si>
  <si>
    <t>Https://Www.Zara.Com/Us/En/Paint-Print-Overshirt-P05320305.Html</t>
  </si>
  <si>
    <t>Paint Print Overshirt</t>
  </si>
  <si>
    <t>Relaxed Fit Overshirt. Lapel Collar And Long Sleeves With Snap Button Cuffs. Chest Patch Pockets. Side Vents At Hem. Front Snap Button Closure.</t>
  </si>
  <si>
    <t>Https://Www.Zara.Com/Us/En/Padded-Corduroy-Overshirt-P01063400.Html</t>
  </si>
  <si>
    <t>Padded Corduroy Overshirt</t>
  </si>
  <si>
    <t>Overshirt With Quilted Interior. Lapel Collar And Long Sleeves With Buttoned Cuffs. Flap Patch Pockets At Chest And In-Seam Pockets At Side Hip. Front Snap Button Closure.</t>
  </si>
  <si>
    <t>Https://Www.Zara.Com/Us/En/Plaid-Tie-Dye-Overshirt-P01063313.Html</t>
  </si>
  <si>
    <t>Plaid Tie Dye Overshirt</t>
  </si>
  <si>
    <t>Regular Fit Overshirt Made Of Cotton. Lapel Collar And Long Sleeves With Buttoned Cuffs. Chest Patch Pockets. Front Button Closure.</t>
  </si>
  <si>
    <t>Https://Www.Zara.Com/Us/En/Overshirt-With-Contrasting-Topstitching-P06917325.Html</t>
  </si>
  <si>
    <t>Overshirt With Contrasting Topstitching</t>
  </si>
  <si>
    <t>Relaxed Fit Overshirt Made With Cotton Fabric. Lapel Collar And Long Sleeves With Buttoned Cuffs. Chest Patch Pocket. Contrasting Topstitching All Over The Garment. Front Button Closure.</t>
  </si>
  <si>
    <t>Https://Www.Zara.Com/Us/En/Quilted-Structured-Overshirt-P09621370.Html</t>
  </si>
  <si>
    <t>Quilted Structured Overshirt</t>
  </si>
  <si>
    <t>Regular Fit Overshirt With Quilted Interior. Lapel Collar And Long Sleeves With Buttoned Cuffs. Patch Pockets At Chest And Welt Pockets At Hip. Front Button Closure.</t>
  </si>
  <si>
    <t>Https://Www.Zara.Com/Us/En/Technical-Overshirt-P05320500.Html</t>
  </si>
  <si>
    <t>Technical Overshirt</t>
  </si>
  <si>
    <t>Regular Fit Overshirt With Lightly Padded Interior. Lapel Collar And Long Sleeves With Buttoned Cuffs. Flap Pockets At Hip. Front Button Closure.</t>
  </si>
  <si>
    <t>Https://Www.Zara.Com/Us/En/Plaid-Overshirt-P07446410.Html</t>
  </si>
  <si>
    <t>Relaxed Fit Overshirt. Lapel Collar And Long Sleeves With Buttoned Cuffs. Chest Patch Pocket. Front Button Closure.</t>
  </si>
  <si>
    <t>Https://Www.Zara.Com/Us/En/Suede-Fisherman-Sandals-P12436320.Html</t>
  </si>
  <si>
    <t>Suede Fisherman Sandals</t>
  </si>
  <si>
    <t>Fisherman Sandals. Made Of Leather With A Suede Finish. Crossed Straps At Front. Buckled Ankle Strap Closure. Slightly Chunky Soles.</t>
  </si>
  <si>
    <t>Shoes</t>
  </si>
  <si>
    <t>Https://Www.Zara.Com/Us/En/Zipper-Multipiece-Sneakers-P12319220.Html</t>
  </si>
  <si>
    <t>Zipper Multipiece Sneakers</t>
  </si>
  <si>
    <t>Running Shoes. Upper In A Combination Of Pieces And Finishes. Front Zip Closure. Back Pull Tab For Ease. Chunky Soles With Irregular Design.</t>
  </si>
  <si>
    <t>Https://Www.Zara.Com/Us/En/Suede-Laceless-Sneakers-P12221320.Html</t>
  </si>
  <si>
    <t>Suede Laceless Sneakers</t>
  </si>
  <si>
    <t>Slip On Sneakers. Made Of Leather With A Suede Finish. Upper In A Combination Of Pieces. Chunky Sole.</t>
  </si>
  <si>
    <t>Https://Www.Zara.Com/Us/En/Multicolor-Sneakers-P12304320.Html</t>
  </si>
  <si>
    <t>Multicolor Sneakers</t>
  </si>
  <si>
    <t>Sneakers. Combination Of Colors And Pieces At Upper. Lacing With Six Pairs Of Eyelets. Chunky Rubber Sole With Irregular Design.</t>
  </si>
  <si>
    <t>Https://Www.Zara.Com/Us/En/Retro-Running-Sneakers-P12350320.Html</t>
  </si>
  <si>
    <t>Retro Running Sneakers</t>
  </si>
  <si>
    <t>Running Shoes. Upper In A Combination Of Pieces And Materials. Lacing With Seven Pairs Of Eyelets. Chunky Lug Soles. Retro-Inspired Design.</t>
  </si>
  <si>
    <t>Https://Www.Zara.Com/Us/En/Suede-High-Tops-P12120320.Html</t>
  </si>
  <si>
    <t>Suede High-Tops</t>
  </si>
  <si>
    <t>High Top Sneakers. Upper In A Combination Of Pieces And Materials. Lacing With Seven Pairs Of Eyelets. Chunky Tonal Sole.</t>
  </si>
  <si>
    <t>Https://Www.Zara.Com/Us/En/Suede-Strap-Sandals-P12707320.Html</t>
  </si>
  <si>
    <t>Suede Strap Sandals</t>
  </si>
  <si>
    <t>Sandals. Made Of Leather With A Suede Finish. Two Crossed Wide Straps At Instep. Thick Lightweight Soles.</t>
  </si>
  <si>
    <t>Https://Www.Zara.Com/Us/En/Multipiece-Sneakers-P12215320.Html</t>
  </si>
  <si>
    <t>Multipiece Sneakers</t>
  </si>
  <si>
    <t>Sneakers. Upper In A Combination Of Pieces And Colors. Lacing With Seven Pairs Of Eyelets. Chunky Sole With A Combination Of Colors. Retro-Inspired Design.</t>
  </si>
  <si>
    <t>Https://Www.Zara.Com/Us/En/Topstitch-Sneakers-P12240320.Html</t>
  </si>
  <si>
    <t>Topstitch Sneakers</t>
  </si>
  <si>
    <t>Sneakers. Pieces And Topstitching At Upper. Lacing With Six Pairs Of Eyelets. Contrasting Slightly Chunky Soles.</t>
  </si>
  <si>
    <t>Https://Www.Zara.Com/Us/En/Retro-Sneakers-P12280220.Html</t>
  </si>
  <si>
    <t>Retro Sneakers</t>
  </si>
  <si>
    <t>Sneakers. Upper In A Combination Of Pieces And Materials. Lacing With Seven Pairs Of Eyelets. Quilted Back Piece. Chunky Sole. Retro Style.</t>
  </si>
  <si>
    <t>Https://Www.Zara.Com/Us/En/Retro-High-Top-Sneakers-P12180220.Html</t>
  </si>
  <si>
    <t>Retro High Top Sneakers</t>
  </si>
  <si>
    <t>High-Top Sneakers. Upper In A Combination Of Pieces. Laces With Ten Pairs Of Eyelets. Chunky Sole.</t>
  </si>
  <si>
    <t>Https://Www.Zara.Com/Us/En/Multi-Pieced-Retro-Sneakers-P12220320.Html</t>
  </si>
  <si>
    <t>Multi-Pieced Retro Sneakers</t>
  </si>
  <si>
    <t>Sneakers. Upper In A Combination Of Pieces And Colors. Lacing With Six Pairs Of Eyelets. Textured Chunky Soles. Retro Style.</t>
  </si>
  <si>
    <t>Https://Www.Zara.Com/Us/En/Tassel-Leather-Loafers-P12609320.Html</t>
  </si>
  <si>
    <t>Tassel Leather Loafers</t>
  </si>
  <si>
    <t>Loafers. Made Of Leather. Smooth Upper With Ruching At Toe. Decorative Fringed Tassels At Instep. Rounded Shape. Welt Around Upper. Chunky Lug Soles.</t>
  </si>
  <si>
    <t>Https://Www.Zara.Com/Us/En/Moc-Toe-Suede-Boots-P12015320.Html</t>
  </si>
  <si>
    <t>Moc-Toe Suede Boots</t>
  </si>
  <si>
    <t>Suede Leather Boots. Ridged Seam Detail At Upper. Lacing With Two Pairs Of Eyelets. Welt Around Upper. Slightly Chunky Sole.</t>
  </si>
  <si>
    <t>Https://Www.Zara.Com/Us/En/Strap-Sandals-P12765320.Html</t>
  </si>
  <si>
    <t>Strap Sandals</t>
  </si>
  <si>
    <t>Sandals With Two Straps. The Thin Straps Hug The Instep. Slightly Chunky Sole.</t>
  </si>
  <si>
    <t>Https://Www.Zara.Com/Us/En/Suede-Retro-Sneakers-P12309320.Html</t>
  </si>
  <si>
    <t>Suede Retro Sneakers</t>
  </si>
  <si>
    <t>Sneakers. Made Of Leather. Combination Of Finishes And Materials At Upper. Lacing With Seven Pairs Of Eyelets. Chunky Sole In A Combination Of Colors. Retro-Inspired Design.</t>
  </si>
  <si>
    <t>Https://Www.Zara.Com/Us/En/Hiking-Boots-P12103320.Html</t>
  </si>
  <si>
    <t>Hiking Boots</t>
  </si>
  <si>
    <t>Lace-Up Boots. Upper In A Combination Of Pieces And Finishes. Laces With Metal Appliquã©S And Seven Pairs Of Eyelets. Welt Detail Around Upper. Rounded Shape. Chunky Lug Soles.</t>
  </si>
  <si>
    <t>Https://Www.Zara.Com/Us/En/Suede-Sneakers-P12502320.Html</t>
  </si>
  <si>
    <t>Suede Sneakers</t>
  </si>
  <si>
    <t>Sneakers. Made Of Leather With A Suede Finish. Laces With Five Pairs Of Eyelets. Chunky Soles.</t>
  </si>
  <si>
    <t>Https://Www.Zara.Com/Us/En/Faux-Shearling-Lined-Suede-Boots-P12050320.Html</t>
  </si>
  <si>
    <t>Faux Shearling Lined Suede Boots</t>
  </si>
  <si>
    <t>Ankle Boots. Made Of Leather With A Suede Finish. Faux Shearling Interior And Side Detail. Rounded Shape. Welt Around Upper. Back Pull Tab. Chunky Lug Soles.</t>
  </si>
  <si>
    <t>Https://Www.Zara.Com/Us/En/Chunky-Sole-Multipiece-Sneakers-P12266220.Html</t>
  </si>
  <si>
    <t>Chunky Sneakers</t>
  </si>
  <si>
    <t>Sneakers. Upper In A Combination Of Pieces And Textures. Shoelaces With Six Pairs Of Eyelets At Different Heights. Chunky Irregular Design Soles. Retro-Inspired Design.</t>
  </si>
  <si>
    <t>Https://Www.Zara.Com/Us/En/Double-Strap-Suede-Sandals-P12716320.Html</t>
  </si>
  <si>
    <t>Double Strap Suede Sandals</t>
  </si>
  <si>
    <t>Sandals. Made Of Leather With A Suede Finish. Two Wide Straps At Instep With Buckles. Insole With Anatomical Shaped Footbed. Welt Around Upper. Chunky Lug Soles.</t>
  </si>
  <si>
    <t>Https://Www.Zara.Com/Us/En/Chunky-Sole-Canvas-Lace-Up-Boots-P12005320.Html</t>
  </si>
  <si>
    <t>Chunky Sole Canvas Lace-Up Boots</t>
  </si>
  <si>
    <t>High Shaft Boots. Lacing With Eight Pairs Of Eyelets. Back Pull Tab For Ease. Rounded Shape. Chunky Lug Soles.</t>
  </si>
  <si>
    <t>Https://Www.Zara.Com/Us/En/Suede-Penny-Loafers-P12644320.Html</t>
  </si>
  <si>
    <t>Suede Penny Loafers</t>
  </si>
  <si>
    <t>Loafers. Made Of Leather With A Suede Finish. Ornamental Saddle Detail At Instep. Rounded Shape. Contrasting Colored Sole.</t>
  </si>
  <si>
    <t>Https://Www.Zara.Com/Us/En/Adherent-Stripes-Sneakers-P12269320.Html</t>
  </si>
  <si>
    <t>Adherent Stripes Sneakers</t>
  </si>
  <si>
    <t>Sneakers. Monochromatic. Upper In A Combination Of Pieces. Closure With Three Adhesive Straps. Slightly Chunky Sole.</t>
  </si>
  <si>
    <t>Https://Www.Zara.Com/Us/En/Multipiece-Sneakers-P12318220.Html</t>
  </si>
  <si>
    <t>Running Shoes. Upper In A Combination Of Pieces And Finishes. Lacing With Six Pairs Of Eyelets. Chunky Soles With Irregular Design. Lug Soles. Trek Style.</t>
  </si>
  <si>
    <t>Https://Www.Zara.Com/Us/En/Chunky-Sole-High-Top-Sneakers-P12104320.Html</t>
  </si>
  <si>
    <t>Chunky Sole High Top Sneakers</t>
  </si>
  <si>
    <t>High Top Sneakers. Lacing With Nine Pairs Of Eyelets. Contrasting Foxing Around The Upper. Chunky Rubberized Soles.</t>
  </si>
  <si>
    <t>Https://Www.Zara.Com/Us/En/Contrast-Sole-Leather-Sneakers-P12510320.Html</t>
  </si>
  <si>
    <t>Contrast Sole Leather Sneakers</t>
  </si>
  <si>
    <t>Sneakers. Made Of Leather. Upper In A Combination Of Pieces And Finishes. Lacing With Six Pairs Of Eyelets. Rounded Shape. Chunky Sole.</t>
  </si>
  <si>
    <t>Https://Www.Zara.Com/Us/En/Suede-Running-Sneakers-P12320320.Html</t>
  </si>
  <si>
    <t>Suede Running Sneakers</t>
  </si>
  <si>
    <t>Running Shoes. Made Of Suede Leather. Upper In A Combination Of Materials And Colors. Lacing With Six Pairs Of Eyelets. Chunky Soles With Irregular Design.</t>
  </si>
  <si>
    <t>Https://Www.Zara.Com/Us/En/Woven-Leather-Slides-P12708320.Html</t>
  </si>
  <si>
    <t>Woven Leather Slides</t>
  </si>
  <si>
    <t>Sandals. Made Of Leather. Three Woven Wide Straps At Instep. Chunky Sole.</t>
  </si>
  <si>
    <t>Https://Www.Zara.Com/Us/En/Suede-Sneakers-P12216320.Html</t>
  </si>
  <si>
    <t>Sneakers. Made Of Leather With A Suede Finish. Contrast Lacing With Seven Pairs Of Eyelets. Welt Around Upper. Chunky Sole.</t>
  </si>
  <si>
    <t>Https://Www.Zara.Com/Us/En/Asymmetric-Cropped-Knit-Sweater-P06771149.Html</t>
  </si>
  <si>
    <t>Asymmetric Cropped Knit Sweater</t>
  </si>
  <si>
    <t>Woven V-Neckline Long Sleeve Sweater. Asymmetric Hem.</t>
  </si>
  <si>
    <t>Sweaters</t>
  </si>
  <si>
    <t>Woman</t>
  </si>
  <si>
    <t>Https://Www.Zara.Com/Us/En/Knit-Sweater-With-Pearls-P02142249.Html</t>
  </si>
  <si>
    <t>Knit Sweater With Pearls</t>
  </si>
  <si>
    <t>Sweater Made With 22% Wool And 10% Alpaca. Round Neck And Long Sleeves. Faux Pearl Appliquã©.</t>
  </si>
  <si>
    <t>Https://Www.Zara.Com/Us/En/High-Collar-Knit-Sweater-P01509118.Html</t>
  </si>
  <si>
    <t>High Collar Knit Sweater</t>
  </si>
  <si>
    <t>Sweater With High Collar And Long Sleeves. Front Pocket. Side Vents At Hem. Rib Trim.</t>
  </si>
  <si>
    <t>Https://Www.Zara.Com/Us/En/Striped-Knit-Sweater-P06427115.Html</t>
  </si>
  <si>
    <t>Striped Knit Sweater</t>
  </si>
  <si>
    <t>Sweater With High Collar And Long Sleeves. Front Zip Closure.</t>
  </si>
  <si>
    <t>Https://Www.Zara.Com/Us/En/Cable-Knit-Metallic-Sweater-P04369103.Html</t>
  </si>
  <si>
    <t>Cable Knit Metallic Sweater</t>
  </si>
  <si>
    <t>Round Neck Long Sleeve Sweater. Metallic Fabric Detail And Frayed Trim.</t>
  </si>
  <si>
    <t>Https://Www.Zara.Com/Us/En/Asymmetrical-Wool-And-Silk-Blend-Sweater-P09598025.Html</t>
  </si>
  <si>
    <t>Asymmetrical Wool And Silk Blend Sweater</t>
  </si>
  <si>
    <t>Wool And Silk Blend Sweater. Asymmetric Neckline And Long Sleeves.</t>
  </si>
  <si>
    <t>Https://Www.Zara.Com/Us/En/Wool-And-Cashmere-Blend-Rib-Sweater-P02893054.Html</t>
  </si>
  <si>
    <t>Wool And Cashmere Blend Rib Sweater</t>
  </si>
  <si>
    <t>Sweater Made With 80% Wool And 20% Cashmere. Round Neck And Long Sleeves.</t>
  </si>
  <si>
    <t>Https://Www.Zara.Com/Us/En/Alpaca-And-Wool-Blend-Tie-Dye-Knit-Sweater-P02142220.Html</t>
  </si>
  <si>
    <t>Alpaca And Wool Blend Tie Dye Knit Sweater</t>
  </si>
  <si>
    <t>Sweater Made With 31% Wool And 28% Alpaca. Round Neck And Long Sleeves.</t>
  </si>
  <si>
    <t>Https://Www.Zara.Com/Us/En/Mock-Neck-Wool-And-Silk-Blend-Knit-Top-P09598125.Html</t>
  </si>
  <si>
    <t>Mock Neck Wool And Silk Blend Knit Top</t>
  </si>
  <si>
    <t>Wool And Silk Blend Top. High Collar And Long Sleeves.</t>
  </si>
  <si>
    <t>Https://Www.Zara.Com/Us/En/Cashmere-Blend-Knit-Sweater-P02893169.Html</t>
  </si>
  <si>
    <t>Cashmere Blend Knit Sweater</t>
  </si>
  <si>
    <t>Sweater Made With 95% Cashmere. V-Neck And Long Sleeves. Rib Trim.</t>
  </si>
  <si>
    <t>Https://Www.Zara.Com/Us/En/Alpaca-Blend-Open-Knit-Sweater-P05755132.Html</t>
  </si>
  <si>
    <t>Alpaca Blend Open Knit Sweater</t>
  </si>
  <si>
    <t>Sweater Made With 63% Alpaca. Round Neck And Long Sleeves.</t>
  </si>
  <si>
    <t>Https://Www.Zara.Com/Us/En/Oversized-Knit-Sweater-P09598288.Html</t>
  </si>
  <si>
    <t>Oversized Knit Sweater</t>
  </si>
  <si>
    <t>Sweater Made With 20% Wool And 17% Alpaca. Crew Neck And Long Sleeves. Tonal Rib Trim.</t>
  </si>
  <si>
    <t>Https://Www.Zara.Com/Us/En/Wool-Blend-Knit-Sweater-P02893159.Html</t>
  </si>
  <si>
    <t>Wool Blend Knit Sweater</t>
  </si>
  <si>
    <t>Sweater Made With 31% Wool. Round Neck And Long Sleeves. Rib Trim.</t>
  </si>
  <si>
    <t>Https://Www.Zara.Com/Us/En/Soft-Jewel-Sweater-P02298153.Html</t>
  </si>
  <si>
    <t>Soft Jewel Sweater</t>
  </si>
  <si>
    <t>Sweater Made Of Soft Touch Fabric. Round Neckline With Jewel Appliquã©S And Long Sleeves.</t>
  </si>
  <si>
    <t>Https://Www.Zara.Com/Us/En/Faux-Fur-Jewel-Sweater-P07901339.Html</t>
  </si>
  <si>
    <t>Faux Fur Jewel Sweater</t>
  </si>
  <si>
    <t>Round Neck Short Sleeve Sweater. Soft Feel Faux Fur Fabric. Jewel Appliquã©S.</t>
  </si>
  <si>
    <t>Https://Www.Zara.Com/Us/En/Metal-Bead-Knit-Sweater-P03920018.Html</t>
  </si>
  <si>
    <t>Metal Bead Knit Sweater</t>
  </si>
  <si>
    <t>Round Neck Long Sleeve Sweater. Side Slit At Hem With Metal Bead Appliquã©S.</t>
  </si>
  <si>
    <t>Https://Www.Zara.Com/Us/En/Knit-Sweater-With-Buttons-P08851131.Html</t>
  </si>
  <si>
    <t>Knit Sweater With Buttons</t>
  </si>
  <si>
    <t>Basic Sweater With Round Neck And Long Sleeves. Side Button Details At Shoulders.</t>
  </si>
  <si>
    <t>Https://Www.Zara.Com/Us/En/Jewel-Knit-Sweater-P05755005.Html</t>
  </si>
  <si>
    <t>Jewel Knit Sweater</t>
  </si>
  <si>
    <t>Round Neck Sweater With Jewel Appliquã©S And Long Sleeves. Back Opening With Button Closure.</t>
  </si>
  <si>
    <t>Https://Www.Zara.Com/Us/En/Knit-Sweater-With-Piping-P05536151.Html</t>
  </si>
  <si>
    <t>Knit Sweater With Piping</t>
  </si>
  <si>
    <t>Round Neck Long Sleeve Sweater. Contrasting Piping Detail. Rib Trim.</t>
  </si>
  <si>
    <t>Https://Www.Zara.Com/Us/En/Fine-Knit-Crop-Sweater-P09598029.Html</t>
  </si>
  <si>
    <t>Fine Knit Crop Sweater</t>
  </si>
  <si>
    <t>Cropped Fine Knit Sweater With Round Neck And Long Sleeves.</t>
  </si>
  <si>
    <t>Https://Www.Zara.Com/Us/En/Knit-Sweater-With-Rips-P00021110.Html</t>
  </si>
  <si>
    <t>Knit Sweater With Rips</t>
  </si>
  <si>
    <t>Round Neck Long Sleeve Sweater. Openwork Detail With Rips.</t>
  </si>
  <si>
    <t>Https://Www.Zara.Com/Us/En/Gathered-Waist-Knit-Sweater-P05536012.Html</t>
  </si>
  <si>
    <t>Gathered Waist Knit Sweater</t>
  </si>
  <si>
    <t>Round Neck Long Sleeve Sweater. Fitted Waist With Side Ruching.</t>
  </si>
  <si>
    <t>Https://Www.Zara.Com/Us/En/Knit-V-Neck-Sweater-P06771003.Html</t>
  </si>
  <si>
    <t>Knit V-Neck Sweater</t>
  </si>
  <si>
    <t>V-Neck Sweater With Long Sleeves. Rib Trim.</t>
  </si>
  <si>
    <t>Https://Www.Zara.Com/Us/En/Basic-Foil-Knit-Sweater-P00506101.Html</t>
  </si>
  <si>
    <t>Basic Foil Knit Sweater</t>
  </si>
  <si>
    <t>Round Neck Long Sleeve Sweater. Rib Trim.</t>
  </si>
  <si>
    <t>Https://Www.Zara.Com/Us/En/Contrast-Topstitching-Crop-Knit-Sweater-P09598003.Html</t>
  </si>
  <si>
    <t>Contrast Topstitching Crop Knit Sweater</t>
  </si>
  <si>
    <t>V-Neck Cropped Sweater With Long Sleeves. Front Patch Pockets. Contrast Topstitching.</t>
  </si>
  <si>
    <t>Https://Www.Zara.Com/Us/En/Striped-Crop-Knit-Sweater-P06771158.Html</t>
  </si>
  <si>
    <t>Striped Crop Knit Sweater</t>
  </si>
  <si>
    <t>Long Sleeve High Collar Cropped Sweater. Frayed Hem.</t>
  </si>
  <si>
    <t>Https://Www.Zara.Com/Us/En/Basic-Knit-Sweater-P01509115.Html</t>
  </si>
  <si>
    <t>Basic Knit Sweater</t>
  </si>
  <si>
    <t>Long Sleeve Round Neck Sweater. Side Vents At Hem. Rib Trim.</t>
  </si>
  <si>
    <t>Https://Www.Zara.Com/Us/En/V-Neck-Knit-Sweater-P03519001.Html</t>
  </si>
  <si>
    <t>V-Neck Knit Sweater</t>
  </si>
  <si>
    <t>V-Neck Sweater With Long Sleeves. Side Vents At Hem.</t>
  </si>
  <si>
    <t>Https://Www.Zara.Com/Us/En/Foil-Knit-Crop-Sweater-P06771001.Html</t>
  </si>
  <si>
    <t>Foil Knit Crop Sweater</t>
  </si>
  <si>
    <t>Ribbed Sweater With Round Neck And Long Sleeves. Ripped Hem.</t>
  </si>
  <si>
    <t>Https://Www.Zara.Com/Us/En/Basic-100-Wool-Sweater-P02893106.Html</t>
  </si>
  <si>
    <t>Basic 100% Wool Sweater</t>
  </si>
  <si>
    <t>Sweater Made Of 100% Wool. Round Neck And Long Sleeves. Ribbed Trim.</t>
  </si>
  <si>
    <t>Https://Www.Zara.Com/Us/En/Colorblock-Knit-Crop-Sweater-P05536008.Html</t>
  </si>
  <si>
    <t>Colorblock Knit Crop Sweater</t>
  </si>
  <si>
    <t>Short Sweater With Round Neck And Long Sleeves.</t>
  </si>
  <si>
    <t>Https://Www.Zara.Com/Us/En/Fine-Knit-Sweater-P09598045.Html</t>
  </si>
  <si>
    <t>Fine Knit Sweater</t>
  </si>
  <si>
    <t>V-Neck Sweater With Long Sleeves.</t>
  </si>
  <si>
    <t>Https://Www.Zara.Com/Us/En/Knit-Open-Back-Pearly-Sweater-P04331152.Html</t>
  </si>
  <si>
    <t>Knit Open Back Pearly Sweater</t>
  </si>
  <si>
    <t>High Collar Sweater With Long Sleeves. Open Back Detail And Pearl Appliquã©S. Back Button Closure.</t>
  </si>
  <si>
    <t>Https://Www.Zara.Com/Us/En/Knit-Pearl-Sweater-P04331165.Html</t>
  </si>
  <si>
    <t>Knit Pearl Sweater</t>
  </si>
  <si>
    <t>Round Neck Long Sleeve Sweater. Tonal Pearl Appliquã©S And Open Back With Tie.</t>
  </si>
  <si>
    <t>Https://Www.Zara.Com/Us/En/Striped-Textured-Overshirt-P04179056.Html</t>
  </si>
  <si>
    <t>Striped Textured Overshirt</t>
  </si>
  <si>
    <t>Relaxed Fit Overshirt. Lapel Collar And Long Sleeves With Buttoned Cuffs. Patch Pockets At Hip. Front Button Closure.</t>
  </si>
  <si>
    <t>Https://Www.Zara.Com/Us/En/Fleece-Overshirt-P01248320.Html</t>
  </si>
  <si>
    <t>Fleece Overshirt</t>
  </si>
  <si>
    <t>Regular Fit Overshirt. Lapel Collar And Long Sleeves With Buttoned Cuffs. Chest Patch Pockets. Front Button Closure.</t>
  </si>
  <si>
    <t>Https://Www.Zara.Com/Us/En/Plaid-Overshirt-P04054659.Html</t>
  </si>
  <si>
    <t>Relaxed Fit Overshirt. Lapel Collar And Long Sleeves With Buttoned Cuffs. Chest Patch Pockets. Front Button Closure.</t>
  </si>
  <si>
    <t>Https://Www.Zara.Com/Us/En/Baggy-Fit-Jeans-Limited-Edition-P03991480.Html</t>
  </si>
  <si>
    <t>Baggy Fit Jeans Limited Edition</t>
  </si>
  <si>
    <t>Baggy Jeans. Five Pockets. Washed Effect. Front Zip And Button Closure.</t>
  </si>
  <si>
    <t>Jeans</t>
  </si>
  <si>
    <t>Https://Www.Zara.Com/Us/En/Baggy-Belted-Jeans-P04365401.Html</t>
  </si>
  <si>
    <t>Baggy Belted Jeans</t>
  </si>
  <si>
    <t>Baggy Jeans. Self Belt At Waist. Front Pockets And Back Patch Pockets. Washed Effect. Front Button Closure.</t>
  </si>
  <si>
    <t>Https://Www.Zara.Com/Us/En/Baggy-Fit-Jeans-P08062482.Html</t>
  </si>
  <si>
    <t>Baggy Fit Jeans</t>
  </si>
  <si>
    <t>Baggy Fit Jeans. Five Pockets. Washed Effect. Front Zip And Button Closure.</t>
  </si>
  <si>
    <t>Https://Www.Zara.Com/Us/En/Baggy-Fit-Jeans-P06688486.Html</t>
  </si>
  <si>
    <t>Https://Www.Zara.Com/Us/En/Flared-Fit-Cargo-Jeans-P06688411.Html</t>
  </si>
  <si>
    <t>Flared Fit Cargo Jeans</t>
  </si>
  <si>
    <t>Flared Jeans. Patch Pockets With Flaps At Hip. Patch Pocket Appliquã©S At Legs. Washed Effect. Adjustable Hem With Zippers. Front Zipper And Crossover Button Closure.</t>
  </si>
  <si>
    <t>Https://Www.Zara.Com/Us/En/Pleated-Wide-Fit-Jeans-P05862417.Html</t>
  </si>
  <si>
    <t>Pleated Wide Fit Jeans</t>
  </si>
  <si>
    <t>Wide Fit Jeans. Adjustable Interior Elastic Waistband With Front Pleats. Front Pockets And Back Patch Pockets. Washed Effect. Front Zip And Button Closure.</t>
  </si>
  <si>
    <t>Https://Www.Zara.Com/Us/En/Denim-Shirt-P06085371.Html</t>
  </si>
  <si>
    <t>Denim Shirt</t>
  </si>
  <si>
    <t>Relaxed Fit Shirt Made Of Denim Fabric. Lapel Collar And Short Sleeves. Chest Patch Pocket. Washed Effect. Front Button Closure.</t>
  </si>
  <si>
    <t>Https://Www.Zara.Com/Us/En/Ripped-Straight-Fit-Jeans-P03991404.Html</t>
  </si>
  <si>
    <t>Ripped Straight Fit Jeans</t>
  </si>
  <si>
    <t>Straight Fit Jeans. Five Pockets. Washed Effect With Rips At Legs. Front Button Closure.</t>
  </si>
  <si>
    <t>Https://Www.Zara.Com/Us/En/Textured-Sweater-P02893403.Html</t>
  </si>
  <si>
    <t>Textured Sweater</t>
  </si>
  <si>
    <t>Sweater Made Of 30% Wool Thread. Round Neck And Long Sleeves. Rib Trim.</t>
  </si>
  <si>
    <t>Https://Www.Zara.Com/Us/En/Purl-Knit-Sweater-P03332300.Html</t>
  </si>
  <si>
    <t>Purl Knit Sweater</t>
  </si>
  <si>
    <t>High Collar Sweater With Front Zipper. Long Sleeves. Rib Trim.</t>
  </si>
  <si>
    <t>Https://Www.Zara.Com/Us/En/Braided-Color-Block-Sweater-P03284412.Html</t>
  </si>
  <si>
    <t>Braided Color Block Sweater</t>
  </si>
  <si>
    <t>Round Neck Long Sleeve Full Cut Sweater. Rib Trim.</t>
  </si>
  <si>
    <t>Https://Www.Zara.Com/Us/En/Contrast-Interior-Sweater-P04696400.Html</t>
  </si>
  <si>
    <t>Contrast Interior Sweater</t>
  </si>
  <si>
    <t>Cotton Blend Sweater. Round Neck And Long Sleeves. Contrast Interior. Rib Trim.</t>
  </si>
  <si>
    <t>Https://Www.Zara.Com/Us/En/Abstract-Jacquard-Sweater-P03284407.Html</t>
  </si>
  <si>
    <t>Abstract Jacquard Sweater</t>
  </si>
  <si>
    <t>Full Cut Cotton Knit Sweater. Round Neck And Long Sleeves. Rib Trim.</t>
  </si>
  <si>
    <t>Https://Www.Zara.Com/Us/En/Basic-Slim-Fit-T-Shirt-P05584361.Html</t>
  </si>
  <si>
    <t>Basic Slim Fit T-Shirt</t>
  </si>
  <si>
    <t>Slim Fit Shirt. Round Neck And Short Sleeves.</t>
  </si>
  <si>
    <t>T-Shirts</t>
  </si>
  <si>
    <t>Https://Www.Zara.Com/Us/En/Cropped-Washed-T-Shirt-P03665403.Html</t>
  </si>
  <si>
    <t>Cropped Washed T-Shirt</t>
  </si>
  <si>
    <t>Cropped Fit T-Shirt With Round Neck And Short Sleeves. Contrasting Front And Back Prints. Washed Effect.</t>
  </si>
  <si>
    <t>Https://Www.Zara.Com/Us/En/Basic-Heavyweight-T-Shirt-P01887450.Html</t>
  </si>
  <si>
    <t>Basic Heavyweight T-Shirt</t>
  </si>
  <si>
    <t>Roomy T-Shirt Made Of Dense Cotton. Round Neck And Short Sleeves.</t>
  </si>
  <si>
    <t>Https://Www.Zara.Com/Us/En/Heart-Print-T-Shirt-P06224419.Html</t>
  </si>
  <si>
    <t>Heart Print T-Shirt</t>
  </si>
  <si>
    <t>Boxy Fit T-Shirt With Round Neck And Short Sleeves. Contrasting Prints At Shoulder And Back.</t>
  </si>
  <si>
    <t>Https://Www.Zara.Com/Us/En/Text-T-Shirt-P00962458.Html</t>
  </si>
  <si>
    <t>Text T-Shirt</t>
  </si>
  <si>
    <t>Boxy Fit T-Shirt. Round Neck And Short Sleeves. Velvet Effect Print With Contrast Text.</t>
  </si>
  <si>
    <t>Https://Www.Zara.Com/Us/En/Printed-Cropped-Fit-Shirt-Limited-Edition-P06224490.Html</t>
  </si>
  <si>
    <t>Printed Cropped Fit Shirt Limited Edition</t>
  </si>
  <si>
    <t>Cropped Shirt. Round Neckline. Contrasting Front Print. Washed Effect. Irregular Trim.</t>
  </si>
  <si>
    <t>Https://Www.Zara.Com/Us/En/Ribbed-Knit-T-Shirt-P03332431.Html</t>
  </si>
  <si>
    <t>Ribbed Knit T-Shirt</t>
  </si>
  <si>
    <t>Cotton Knit Tank Top. Round Neck With Front Button Closure. Rib Trim.</t>
  </si>
  <si>
    <t>Https://Www.Zara.Com/Us/En/Oversize-Fit-T-Shirt-P04092405.Html</t>
  </si>
  <si>
    <t>Oversize Fit T-Shirt</t>
  </si>
  <si>
    <t>Oversized T-Shirt. Round Neck And Short Sleeves.</t>
  </si>
  <si>
    <t>Https://Www.Zara.Com/Us/En/Basic-Medium-Weight-T-Shirt-P01887470.Html</t>
  </si>
  <si>
    <t>Basic Medium Weight T-Shirt</t>
  </si>
  <si>
    <t>Regular Fit T-Shirt. Round Neck And Short Sleeves.</t>
  </si>
  <si>
    <t>Https://Www.Zara.Com/Us/En/Structured-Text-T-Shirt-P00761434.Html</t>
  </si>
  <si>
    <t>Structured Text T-Shirt</t>
  </si>
  <si>
    <t>Full Cut T-Shirt Made Of Mesh Textured Fabric. Contrast Rib V-Neckline And Short Sleeves. Front Contrast Printed Text.</t>
  </si>
  <si>
    <t>Https://Www.Zara.Com/Us/En/Abstract-Print-T-Shirt-P06224403.Html</t>
  </si>
  <si>
    <t>Abstract Print T-Shirt</t>
  </si>
  <si>
    <t>Full Cut T-Shirt With Crew Neck And Short Sleeves. Contrasting Front And Back Prints. Washed Effect.</t>
  </si>
  <si>
    <t>Https://Www.Zara.Com/Us/En/Raised-Text-T-Shirt-Limited-Edition-P00977490.Html</t>
  </si>
  <si>
    <t>Raised Text T-Shirt Limited Edition</t>
  </si>
  <si>
    <t>Full Cut T-Shirt With Round Neck And Short Sleeves. Front Tonal Raised Text. Washed Effect.</t>
  </si>
  <si>
    <t>Https://Www.Zara.Com/Us/En/Ribbed-Knit-T-Shirt-P04805409.Html</t>
  </si>
  <si>
    <t>Cropped Fit Knit Shirt. Round Neck And Long Sleeves. Washed Effect.</t>
  </si>
  <si>
    <t>Https://Www.Zara.Com/Us/En/Semi-Sheer-Knit-Shirt-Limited-Edition-P04805424.Html</t>
  </si>
  <si>
    <t>Semi-Sheer Knit Shirt Limited Edition</t>
  </si>
  <si>
    <t>Slim Fit Shirt Made Of Wrinkle Effect Fabric. Round Neck And Long Sleeves.</t>
  </si>
  <si>
    <t>Https://Www.Zara.Com/Us/En/Viscose-Blend-Knit-T-Shirt-P00693401.Html</t>
  </si>
  <si>
    <t>Viscose Blend Knit T-Shirt</t>
  </si>
  <si>
    <t>Knit Shirt In Viscose Blend Fabric. Mock Neck And Short Sleeves. Rib Trim.</t>
  </si>
  <si>
    <t>Https://Www.Zara.Com/Us/En/Striped-Jacquard-T-Shirt-P05372400.Html</t>
  </si>
  <si>
    <t>Striped Jacquard T-Shirt</t>
  </si>
  <si>
    <t>Relaxed Fit T-Shirt With Round Neck And Short Sleeves.</t>
  </si>
  <si>
    <t>Https://Www.Zara.Com/Us/En/Abstract-Print-Knit-T-Shirt-P04805401.Html</t>
  </si>
  <si>
    <t>Abstract Print Knit T-Shirt</t>
  </si>
  <si>
    <t>Cotton Knit T-Shirt. Round Neck And Short Sleeves.</t>
  </si>
  <si>
    <t>Https://Www.Zara.Com/Us/En/Structured-Text-T-Shirt-P00761435.Html</t>
  </si>
  <si>
    <t>IQR</t>
  </si>
  <si>
    <t>OUTLIERS -IQR-</t>
  </si>
  <si>
    <t>Q1</t>
  </si>
  <si>
    <t>Q2</t>
  </si>
  <si>
    <t>Q3</t>
  </si>
  <si>
    <t>Lower Bound</t>
  </si>
  <si>
    <t>Upper Bound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</si>
</sst>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9"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8"/>
      <name val="Arial"/>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164" fontId="0" fillId="0" borderId="0" xfId="0" applyNumberFormat="1"/>
    <xf numFmtId="1" fontId="0" fillId="0" borderId="0" xfId="0" applyNumberFormat="1"/>
    <xf numFmtId="0" fontId="0" fillId="33" borderId="0" xfId="0" applyFill="1"/>
    <xf numFmtId="0" fontId="16" fillId="33" borderId="0" xfId="0" applyFont="1" applyFill="1" applyAlignment="1">
      <alignment horizontal="center"/>
    </xf>
    <xf numFmtId="0" fontId="0" fillId="33" borderId="0" xfId="0" applyFill="1" applyAlignment="1">
      <alignment horizontal="center"/>
    </xf>
    <xf numFmtId="0" fontId="17"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0" formatCode="General"/>
    </dxf>
    <dxf>
      <numFmt numFmtId="0" formatCode="General"/>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13" Type="http://schemas.openxmlformats.org/officeDocument/2006/relationships/customXml" Target="../customXml/item6.xml"/><Relationship Id="rId18" Type="http://schemas.openxmlformats.org/officeDocument/2006/relationships/customXml" Target="../customXml/item11.xml"/><Relationship Id="rId3" Type="http://schemas.openxmlformats.org/officeDocument/2006/relationships/connections" Target="connections.xml"/><Relationship Id="rId21" Type="http://schemas.openxmlformats.org/officeDocument/2006/relationships/customXml" Target="../customXml/item14.xml"/><Relationship Id="rId7" Type="http://schemas.openxmlformats.org/officeDocument/2006/relationships/calcChain" Target="calcChain.xml"/><Relationship Id="rId12" Type="http://schemas.openxmlformats.org/officeDocument/2006/relationships/customXml" Target="../customXml/item5.xml"/><Relationship Id="rId17" Type="http://schemas.openxmlformats.org/officeDocument/2006/relationships/customXml" Target="../customXml/item10.xml"/><Relationship Id="rId2" Type="http://schemas.openxmlformats.org/officeDocument/2006/relationships/theme" Target="theme/theme1.xml"/><Relationship Id="rId16" Type="http://schemas.openxmlformats.org/officeDocument/2006/relationships/customXml" Target="../customXml/item9.xml"/><Relationship Id="rId20"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owerPivotData" Target="model/item.data"/><Relationship Id="rId11" Type="http://schemas.openxmlformats.org/officeDocument/2006/relationships/customXml" Target="../customXml/item4.xml"/><Relationship Id="rId24" Type="http://schemas.openxmlformats.org/officeDocument/2006/relationships/customXml" Target="../customXml/item17.xml"/><Relationship Id="rId5" Type="http://schemas.openxmlformats.org/officeDocument/2006/relationships/sharedStrings" Target="sharedStrings.xml"/><Relationship Id="rId15" Type="http://schemas.openxmlformats.org/officeDocument/2006/relationships/customXml" Target="../customXml/item8.xml"/><Relationship Id="rId23" Type="http://schemas.openxmlformats.org/officeDocument/2006/relationships/customXml" Target="../customXml/item16.xml"/><Relationship Id="rId10" Type="http://schemas.openxmlformats.org/officeDocument/2006/relationships/customXml" Target="../customXml/item3.xml"/><Relationship Id="rId19" Type="http://schemas.openxmlformats.org/officeDocument/2006/relationships/customXml" Target="../customXml/item12.xml"/><Relationship Id="rId4" Type="http://schemas.openxmlformats.org/officeDocument/2006/relationships/styles" Target="styles.xml"/><Relationship Id="rId9" Type="http://schemas.openxmlformats.org/officeDocument/2006/relationships/customXml" Target="../customXml/item2.xml"/><Relationship Id="rId14" Type="http://schemas.openxmlformats.org/officeDocument/2006/relationships/customXml" Target="../customXml/item7.xml"/><Relationship Id="rId22" Type="http://schemas.openxmlformats.org/officeDocument/2006/relationships/customXml" Target="../customXml/item1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plotArea>
      <cx:plotAreaRegion>
        <cx:series layoutId="boxWhisker" uniqueId="{00000000-3B3A-4496-9290-357406B3FECD}">
          <cx:tx>
            <cx:txData>
              <cx:f>_xlchart.v1.0</cx:f>
              <cx:v>Total Revenue</cx:v>
            </cx:txData>
          </cx:tx>
          <cx:dataLabels pos="l">
            <cx:visibility seriesName="0" categoryName="0" value="1"/>
            <cx:separator>, </cx:separator>
          </cx:dataLabels>
          <cx:dataId val="0"/>
          <cx:layoutPr>
            <cx:visibility meanLine="0" meanMarker="1" nonoutliers="0" outliers="1"/>
            <cx:statistics quartileMethod="exclusive"/>
          </cx:layoutPr>
        </cx:series>
      </cx:plotAreaRegion>
      <cx:axis id="0" hidden="1">
        <cx:catScaling gapWidth="1"/>
        <cx:tickLabels/>
      </cx:axis>
      <cx:axis id="1" hidden="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18</xdr:col>
      <xdr:colOff>247650</xdr:colOff>
      <xdr:row>14</xdr:row>
      <xdr:rowOff>76200</xdr:rowOff>
    </xdr:from>
    <xdr:to>
      <xdr:col>25</xdr:col>
      <xdr:colOff>251460</xdr:colOff>
      <xdr:row>33</xdr:row>
      <xdr:rowOff>167640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00856D12-9E78-FD56-5C1F-A73A5EFFFFC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369510" y="2529840"/>
              <a:ext cx="5627370" cy="3421380"/>
            </a:xfrm>
            <a:prstGeom prst="rect">
              <a:avLst/>
            </a:prstGeom>
            <a:solidFill>
              <a:prstClr val="white"/>
            </a:solidFill>
            <a:ln w="1">
              <a:solidFill>
                <a:prstClr val="green"/>
              </a:solidFill>
            </a:ln>
          </xdr:spPr>
          <xdr:txBody>
            <a:bodyPr vertOverflow="clip" horzOverflow="clip"/>
            <a:lstStyle/>
            <a:p>
              <a:r>
                <a:rPr lang="ar-EG" sz="1100"/>
                <a:t>This chart isn't available in your version of Excel.
Editing this shape or saving this workbook into a different file format will permanently break the chart.</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2EE9833-43C9-4E2B-8F7E-D93554A67EFE}" autoFormatId="16" applyNumberFormats="0" applyBorderFormats="0" applyFontFormats="0" applyPatternFormats="0" applyAlignmentFormats="0" applyWidthHeightFormats="0">
  <queryTableRefresh nextId="21">
    <queryTableFields count="18">
      <queryTableField id="1" name="Product ID" tableColumnId="1"/>
      <queryTableField id="2" name="Product Position" tableColumnId="2"/>
      <queryTableField id="3" name="Promotion" tableColumnId="3"/>
      <queryTableField id="4" name="Seasonal" tableColumnId="4"/>
      <queryTableField id="5" name="Sales Volume" tableColumnId="5"/>
      <queryTableField id="6" name="url" tableColumnId="6"/>
      <queryTableField id="7" name="sku" tableColumnId="7"/>
      <queryTableField id="8" name="name" tableColumnId="8"/>
      <queryTableField id="9" name="description" tableColumnId="9"/>
      <queryTableField id="10" name="price" tableColumnId="10"/>
      <queryTableField id="11" name="scraped_at.1" tableColumnId="11"/>
      <queryTableField id="12" name="scraped_at.2" tableColumnId="12"/>
      <queryTableField id="13" name="terms" tableColumnId="13"/>
      <queryTableField id="14" name="section" tableColumnId="14"/>
      <queryTableField id="15" name="Promotion-%-" tableColumnId="15"/>
      <queryTableField id="16" name="Seasonal-%-" tableColumnId="16"/>
      <queryTableField id="17" name="section gender" tableColumnId="17"/>
      <queryTableField id="18" name="Total Revenue" tableColumnId="18"/>
    </queryTableFields>
  </queryTableRefresh>
  <extLst>
    <ext xmlns:x15="http://schemas.microsoft.com/office/spreadsheetml/2010/11/main" uri="{883FBD77-0823-4a55-B5E3-86C4891E6966}">
      <x15:queryTable sourceDataName="Query - ZARA"/>
    </ext>
  </extLst>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9233FC-FC3B-436A-B071-06E119B757DB}" name="ZARA" displayName="ZARA" ref="A1:R252" tableType="queryTable" totalsRowShown="0">
  <autoFilter ref="A1:R252" xr:uid="{C79233FC-FC3B-436A-B071-06E119B757DB}"/>
  <tableColumns count="18">
    <tableColumn id="1" xr3:uid="{F3EED3A5-D3F9-4C6F-B0A1-20A6B4814654}" uniqueName="1" name="Product ID" queryTableFieldId="1"/>
    <tableColumn id="2" xr3:uid="{6586DB5D-3CAF-4C50-A762-D6ACEB5256D2}" uniqueName="2" name="Product Position" queryTableFieldId="2" dataDxfId="10"/>
    <tableColumn id="3" xr3:uid="{3D64990B-7761-4F9F-9B5E-CE17C19CC0A0}" uniqueName="3" name="Promotion" queryTableFieldId="3" dataDxfId="9"/>
    <tableColumn id="4" xr3:uid="{62FEF49D-C459-48EC-AAED-8F677A028C28}" uniqueName="4" name="Seasonal" queryTableFieldId="4" dataDxfId="8"/>
    <tableColumn id="5" xr3:uid="{186CEB41-0EBF-4B83-B0E1-6B62F0069C71}" uniqueName="5" name="Sales Volume" queryTableFieldId="5"/>
    <tableColumn id="6" xr3:uid="{8359BA3E-DDCA-4E63-B83C-DAE745EDC8AC}" uniqueName="6" name="url" queryTableFieldId="6" dataDxfId="7"/>
    <tableColumn id="7" xr3:uid="{2C88C484-390A-4188-BDA1-8898C25A355B}" uniqueName="7" name="sku" queryTableFieldId="7" dataDxfId="6"/>
    <tableColumn id="8" xr3:uid="{15743EA2-F3C3-460A-A690-7BB9576CE1ED}" uniqueName="8" name="name" queryTableFieldId="8" dataDxfId="5"/>
    <tableColumn id="9" xr3:uid="{6C313E7E-81F8-41AE-8E3E-3BC208620727}" uniqueName="9" name="description" queryTableFieldId="9" dataDxfId="4"/>
    <tableColumn id="10" xr3:uid="{CF4A7378-AF9A-4DA4-B386-5278507847C4}" uniqueName="10" name="price" queryTableFieldId="10"/>
    <tableColumn id="11" xr3:uid="{DB13D0B7-89D3-495B-9CE4-1643A741E3CD}" uniqueName="11" name="scraped_at.1" queryTableFieldId="11" dataDxfId="3"/>
    <tableColumn id="12" xr3:uid="{8E83B70C-FBB3-44EA-97F2-CEF3B3F1C373}" uniqueName="12" name="scraped_at.2" queryTableFieldId="12" dataDxfId="2"/>
    <tableColumn id="13" xr3:uid="{C652FF76-922A-4CB1-AB41-D3DAA0A36509}" uniqueName="13" name="terms" queryTableFieldId="13" dataDxfId="1"/>
    <tableColumn id="14" xr3:uid="{BDFE6440-ABDE-4BA5-8E2C-CD655DD8A55A}" uniqueName="14" name="section" queryTableFieldId="14" dataDxfId="0"/>
    <tableColumn id="15" xr3:uid="{6089EC7C-331C-44B3-B261-901E980733EF}" uniqueName="15" name="Promotion-%-" queryTableFieldId="15"/>
    <tableColumn id="16" xr3:uid="{73F3A3BA-FEFC-40A4-B580-1D067E488ECE}" uniqueName="16" name="Seasonal-%-" queryTableFieldId="16"/>
    <tableColumn id="17" xr3:uid="{DBE41F05-990D-4D9A-A600-BF711ABC0BB3}" uniqueName="17" name="section gender" queryTableFieldId="17"/>
    <tableColumn id="18" xr3:uid="{413E019A-8DC3-4BFC-A17E-C5D8BB1F3942}" uniqueName="18" name="Total Revenue"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DAD7C-9ED7-489C-92E4-1D42AE600A28}">
  <dimension ref="A1:V252"/>
  <sheetViews>
    <sheetView tabSelected="1" topLeftCell="K12" workbookViewId="0">
      <selection activeCell="Z22" sqref="Z22"/>
    </sheetView>
  </sheetViews>
  <sheetFormatPr defaultRowHeight="13.8" x14ac:dyDescent="0.25"/>
  <cols>
    <col min="1" max="1" width="12" bestFit="1" customWidth="1"/>
    <col min="2" max="2" width="17.3984375" bestFit="1" customWidth="1"/>
    <col min="3" max="3" width="12" bestFit="1" customWidth="1"/>
    <col min="4" max="4" width="10.8984375" bestFit="1" customWidth="1"/>
    <col min="5" max="5" width="15.09765625" bestFit="1" customWidth="1"/>
    <col min="6" max="6" width="78.09765625" bestFit="1" customWidth="1"/>
    <col min="7" max="7" width="16.19921875" bestFit="1" customWidth="1"/>
    <col min="8" max="8" width="38.5" bestFit="1" customWidth="1"/>
    <col min="9" max="9" width="80.796875" bestFit="1" customWidth="1"/>
    <col min="10" max="10" width="7.296875" bestFit="1" customWidth="1"/>
    <col min="11" max="12" width="14" bestFit="1" customWidth="1"/>
    <col min="13" max="13" width="8.3984375" bestFit="1" customWidth="1"/>
    <col min="14" max="14" width="9.296875" bestFit="1" customWidth="1"/>
    <col min="15" max="15" width="15" bestFit="1" customWidth="1"/>
    <col min="16" max="16" width="13.796875" bestFit="1" customWidth="1"/>
    <col min="17" max="17" width="16.09765625" bestFit="1" customWidth="1"/>
    <col min="18" max="18" width="16.3984375" customWidth="1"/>
    <col min="20" max="20" width="14.796875" bestFit="1" customWidth="1"/>
    <col min="21" max="21" width="15" bestFit="1" customWidth="1"/>
  </cols>
  <sheetData>
    <row r="1" spans="1:22" x14ac:dyDescent="0.25">
      <c r="A1" t="s">
        <v>0</v>
      </c>
      <c r="B1" t="s">
        <v>1</v>
      </c>
      <c r="C1" t="s">
        <v>2</v>
      </c>
      <c r="D1" t="s">
        <v>3</v>
      </c>
      <c r="E1" t="s">
        <v>4</v>
      </c>
      <c r="F1" t="s">
        <v>5</v>
      </c>
      <c r="G1" t="s">
        <v>6</v>
      </c>
      <c r="H1" t="s">
        <v>7</v>
      </c>
      <c r="I1" t="s">
        <v>8</v>
      </c>
      <c r="J1" t="s">
        <v>9</v>
      </c>
      <c r="K1" t="s">
        <v>242</v>
      </c>
      <c r="L1" t="s">
        <v>243</v>
      </c>
      <c r="M1" t="s">
        <v>10</v>
      </c>
      <c r="N1" t="s">
        <v>11</v>
      </c>
      <c r="O1" t="s">
        <v>244</v>
      </c>
      <c r="P1" t="s">
        <v>245</v>
      </c>
      <c r="Q1" t="s">
        <v>246</v>
      </c>
      <c r="R1" t="s">
        <v>247</v>
      </c>
    </row>
    <row r="2" spans="1:22" x14ac:dyDescent="0.25">
      <c r="A2">
        <v>136738</v>
      </c>
      <c r="B2" t="s">
        <v>269</v>
      </c>
      <c r="C2" t="s">
        <v>13</v>
      </c>
      <c r="D2" t="s">
        <v>16</v>
      </c>
      <c r="E2">
        <v>542</v>
      </c>
      <c r="F2" t="s">
        <v>704</v>
      </c>
      <c r="G2" t="s">
        <v>176</v>
      </c>
      <c r="H2" t="s">
        <v>705</v>
      </c>
      <c r="I2" t="s">
        <v>706</v>
      </c>
      <c r="J2">
        <v>7.99</v>
      </c>
      <c r="K2" s="1">
        <v>45341</v>
      </c>
      <c r="L2" s="2">
        <v>0.38232638888888887</v>
      </c>
      <c r="M2" t="s">
        <v>699</v>
      </c>
      <c r="N2" t="s">
        <v>700</v>
      </c>
      <c r="O2">
        <v>0</v>
      </c>
      <c r="P2">
        <v>1</v>
      </c>
      <c r="Q2">
        <v>0</v>
      </c>
      <c r="R2">
        <v>4331</v>
      </c>
    </row>
    <row r="3" spans="1:22" x14ac:dyDescent="0.25">
      <c r="A3">
        <v>171776</v>
      </c>
      <c r="B3" t="s">
        <v>12</v>
      </c>
      <c r="C3" t="s">
        <v>16</v>
      </c>
      <c r="D3" t="s">
        <v>13</v>
      </c>
      <c r="E3">
        <v>1685</v>
      </c>
      <c r="F3" t="s">
        <v>825</v>
      </c>
      <c r="G3" t="s">
        <v>217</v>
      </c>
      <c r="H3" t="s">
        <v>826</v>
      </c>
      <c r="I3" t="s">
        <v>827</v>
      </c>
      <c r="J3">
        <v>12.99</v>
      </c>
      <c r="K3" s="1">
        <v>45341</v>
      </c>
      <c r="L3" s="2">
        <v>0.37130787037037039</v>
      </c>
      <c r="M3" t="s">
        <v>811</v>
      </c>
      <c r="N3" t="s">
        <v>252</v>
      </c>
      <c r="O3">
        <v>1</v>
      </c>
      <c r="P3">
        <v>0</v>
      </c>
      <c r="Q3">
        <v>1</v>
      </c>
      <c r="R3">
        <v>21888</v>
      </c>
    </row>
    <row r="4" spans="1:22" x14ac:dyDescent="0.25">
      <c r="A4">
        <v>185307</v>
      </c>
      <c r="B4" t="s">
        <v>269</v>
      </c>
      <c r="C4" t="s">
        <v>13</v>
      </c>
      <c r="D4" t="s">
        <v>16</v>
      </c>
      <c r="E4">
        <v>2743</v>
      </c>
      <c r="F4" t="s">
        <v>785</v>
      </c>
      <c r="G4" t="s">
        <v>203</v>
      </c>
      <c r="H4" t="s">
        <v>786</v>
      </c>
      <c r="I4" t="s">
        <v>787</v>
      </c>
      <c r="J4">
        <v>7.99</v>
      </c>
      <c r="K4" s="1">
        <v>45341</v>
      </c>
      <c r="L4" s="2">
        <v>0.3825115740740741</v>
      </c>
      <c r="M4" t="s">
        <v>699</v>
      </c>
      <c r="N4" t="s">
        <v>700</v>
      </c>
      <c r="O4">
        <v>0</v>
      </c>
      <c r="P4">
        <v>1</v>
      </c>
      <c r="Q4">
        <v>0</v>
      </c>
      <c r="R4">
        <v>21917</v>
      </c>
    </row>
    <row r="5" spans="1:22" x14ac:dyDescent="0.25">
      <c r="A5">
        <v>185774</v>
      </c>
      <c r="B5" t="s">
        <v>256</v>
      </c>
      <c r="C5" t="s">
        <v>16</v>
      </c>
      <c r="D5" t="s">
        <v>16</v>
      </c>
      <c r="E5">
        <v>1145</v>
      </c>
      <c r="F5" t="s">
        <v>746</v>
      </c>
      <c r="G5" t="s">
        <v>129</v>
      </c>
      <c r="H5" t="s">
        <v>301</v>
      </c>
      <c r="I5" t="s">
        <v>580</v>
      </c>
      <c r="J5">
        <v>19.989999999999998</v>
      </c>
      <c r="K5" s="1">
        <v>45341</v>
      </c>
      <c r="L5" s="2">
        <v>0.38234953703703706</v>
      </c>
      <c r="M5" t="s">
        <v>849</v>
      </c>
      <c r="N5" t="s">
        <v>252</v>
      </c>
      <c r="O5">
        <v>1</v>
      </c>
      <c r="P5">
        <v>1</v>
      </c>
      <c r="Q5">
        <v>1</v>
      </c>
      <c r="R5">
        <v>22889</v>
      </c>
    </row>
    <row r="6" spans="1:22" x14ac:dyDescent="0.25">
      <c r="A6">
        <v>142257</v>
      </c>
      <c r="B6" t="s">
        <v>12</v>
      </c>
      <c r="C6" t="s">
        <v>16</v>
      </c>
      <c r="D6" t="s">
        <v>16</v>
      </c>
      <c r="E6">
        <v>1180</v>
      </c>
      <c r="F6" t="s">
        <v>846</v>
      </c>
      <c r="G6" t="s">
        <v>224</v>
      </c>
      <c r="H6" t="s">
        <v>847</v>
      </c>
      <c r="I6" t="s">
        <v>848</v>
      </c>
      <c r="J6">
        <v>19.899999999999999</v>
      </c>
      <c r="K6" s="1">
        <v>45341</v>
      </c>
      <c r="L6" s="2">
        <v>0.37252314814814813</v>
      </c>
      <c r="M6" t="s">
        <v>849</v>
      </c>
      <c r="N6" t="s">
        <v>252</v>
      </c>
      <c r="O6">
        <v>1</v>
      </c>
      <c r="P6">
        <v>1</v>
      </c>
      <c r="Q6">
        <v>1</v>
      </c>
      <c r="R6">
        <v>23482</v>
      </c>
    </row>
    <row r="7" spans="1:22" x14ac:dyDescent="0.25">
      <c r="A7">
        <v>132007</v>
      </c>
      <c r="B7" t="s">
        <v>12</v>
      </c>
      <c r="C7" t="s">
        <v>13</v>
      </c>
      <c r="D7" t="s">
        <v>16</v>
      </c>
      <c r="E7">
        <v>2491</v>
      </c>
      <c r="F7" t="s">
        <v>635</v>
      </c>
      <c r="G7" t="s">
        <v>153</v>
      </c>
      <c r="H7" t="s">
        <v>636</v>
      </c>
      <c r="I7" t="s">
        <v>637</v>
      </c>
      <c r="J7">
        <v>9.99</v>
      </c>
      <c r="K7" s="1">
        <v>45341</v>
      </c>
      <c r="L7" s="2">
        <v>0.37539351851851854</v>
      </c>
      <c r="M7" t="s">
        <v>610</v>
      </c>
      <c r="N7" t="s">
        <v>252</v>
      </c>
      <c r="O7">
        <v>0</v>
      </c>
      <c r="P7">
        <v>1</v>
      </c>
      <c r="Q7">
        <v>1</v>
      </c>
      <c r="R7">
        <v>24885</v>
      </c>
    </row>
    <row r="8" spans="1:22" x14ac:dyDescent="0.25">
      <c r="A8">
        <v>147998</v>
      </c>
      <c r="B8" t="s">
        <v>12</v>
      </c>
      <c r="C8" t="s">
        <v>13</v>
      </c>
      <c r="D8" t="s">
        <v>13</v>
      </c>
      <c r="E8">
        <v>2556</v>
      </c>
      <c r="F8" t="s">
        <v>638</v>
      </c>
      <c r="G8" t="s">
        <v>154</v>
      </c>
      <c r="H8" t="s">
        <v>639</v>
      </c>
      <c r="I8" t="s">
        <v>640</v>
      </c>
      <c r="J8">
        <v>9.99</v>
      </c>
      <c r="K8" s="1">
        <v>45341</v>
      </c>
      <c r="L8" s="2">
        <v>0.37541666666666668</v>
      </c>
      <c r="M8" t="s">
        <v>610</v>
      </c>
      <c r="N8" t="s">
        <v>252</v>
      </c>
      <c r="O8">
        <v>0</v>
      </c>
      <c r="P8">
        <v>0</v>
      </c>
      <c r="Q8">
        <v>1</v>
      </c>
      <c r="R8">
        <v>25534</v>
      </c>
      <c r="T8" s="4"/>
      <c r="U8" s="5" t="s">
        <v>899</v>
      </c>
      <c r="V8" s="4"/>
    </row>
    <row r="9" spans="1:22" x14ac:dyDescent="0.25">
      <c r="A9">
        <v>122484</v>
      </c>
      <c r="B9" t="s">
        <v>12</v>
      </c>
      <c r="C9" t="s">
        <v>16</v>
      </c>
      <c r="D9" t="s">
        <v>16</v>
      </c>
      <c r="E9">
        <v>558</v>
      </c>
      <c r="F9" t="s">
        <v>779</v>
      </c>
      <c r="G9" t="s">
        <v>201</v>
      </c>
      <c r="H9" t="s">
        <v>780</v>
      </c>
      <c r="I9" t="s">
        <v>781</v>
      </c>
      <c r="J9">
        <v>47.9</v>
      </c>
      <c r="K9" s="1">
        <v>45341</v>
      </c>
      <c r="L9" s="2">
        <v>0.38250000000000001</v>
      </c>
      <c r="M9" t="s">
        <v>699</v>
      </c>
      <c r="N9" t="s">
        <v>700</v>
      </c>
      <c r="O9">
        <v>1</v>
      </c>
      <c r="P9">
        <v>1</v>
      </c>
      <c r="Q9">
        <v>0</v>
      </c>
      <c r="R9">
        <v>26728</v>
      </c>
      <c r="T9" s="6" t="s">
        <v>900</v>
      </c>
      <c r="V9" s="7">
        <f>_xlfn.QUARTILE.EXC(ZARA[Total Revenue],1)</f>
        <v>77506</v>
      </c>
    </row>
    <row r="10" spans="1:22" x14ac:dyDescent="0.25">
      <c r="A10">
        <v>132322</v>
      </c>
      <c r="B10" t="s">
        <v>269</v>
      </c>
      <c r="C10" t="s">
        <v>16</v>
      </c>
      <c r="D10" t="s">
        <v>13</v>
      </c>
      <c r="E10">
        <v>2135</v>
      </c>
      <c r="F10" t="s">
        <v>539</v>
      </c>
      <c r="G10" t="s">
        <v>119</v>
      </c>
      <c r="H10" t="s">
        <v>540</v>
      </c>
      <c r="I10" t="s">
        <v>541</v>
      </c>
      <c r="J10">
        <v>12.99</v>
      </c>
      <c r="K10" s="1">
        <v>45341</v>
      </c>
      <c r="L10" s="2">
        <v>0.36909722222222224</v>
      </c>
      <c r="M10" t="s">
        <v>251</v>
      </c>
      <c r="N10" t="s">
        <v>252</v>
      </c>
      <c r="O10">
        <v>1</v>
      </c>
      <c r="P10">
        <v>0</v>
      </c>
      <c r="Q10">
        <v>1</v>
      </c>
      <c r="R10">
        <v>27734</v>
      </c>
      <c r="T10" s="6" t="s">
        <v>901</v>
      </c>
      <c r="V10" s="7">
        <f>_xlfn.QUARTILE.EXC(ZARA[Total Revenue],2)</f>
        <v>129105</v>
      </c>
    </row>
    <row r="11" spans="1:22" x14ac:dyDescent="0.25">
      <c r="A11">
        <v>154736</v>
      </c>
      <c r="B11" t="s">
        <v>269</v>
      </c>
      <c r="C11" t="s">
        <v>16</v>
      </c>
      <c r="D11" t="s">
        <v>16</v>
      </c>
      <c r="E11">
        <v>1466</v>
      </c>
      <c r="F11" t="s">
        <v>505</v>
      </c>
      <c r="G11" t="s">
        <v>145</v>
      </c>
      <c r="H11" t="s">
        <v>347</v>
      </c>
      <c r="I11" t="s">
        <v>345</v>
      </c>
      <c r="J11">
        <v>19.899999999999999</v>
      </c>
      <c r="K11" s="1">
        <v>45341</v>
      </c>
      <c r="L11" s="2">
        <v>0.38246527777777778</v>
      </c>
      <c r="M11" t="s">
        <v>251</v>
      </c>
      <c r="N11" t="s">
        <v>252</v>
      </c>
      <c r="O11">
        <v>1</v>
      </c>
      <c r="P11">
        <v>1</v>
      </c>
      <c r="Q11">
        <v>1</v>
      </c>
      <c r="R11">
        <v>29173</v>
      </c>
      <c r="T11" s="6" t="s">
        <v>902</v>
      </c>
      <c r="V11" s="7">
        <f>_xlfn.QUARTILE.EXC(ZARA[Total Revenue],3)</f>
        <v>199578</v>
      </c>
    </row>
    <row r="12" spans="1:22" x14ac:dyDescent="0.25">
      <c r="A12">
        <v>140142</v>
      </c>
      <c r="B12" t="s">
        <v>269</v>
      </c>
      <c r="C12" t="s">
        <v>16</v>
      </c>
      <c r="D12" t="s">
        <v>13</v>
      </c>
      <c r="E12">
        <v>606</v>
      </c>
      <c r="F12" t="s">
        <v>794</v>
      </c>
      <c r="G12" t="s">
        <v>206</v>
      </c>
      <c r="H12" t="s">
        <v>795</v>
      </c>
      <c r="I12" t="s">
        <v>796</v>
      </c>
      <c r="J12">
        <v>49.9</v>
      </c>
      <c r="K12" s="1">
        <v>45341</v>
      </c>
      <c r="L12" s="2">
        <v>0.38253472222222223</v>
      </c>
      <c r="M12" t="s">
        <v>699</v>
      </c>
      <c r="N12" t="s">
        <v>700</v>
      </c>
      <c r="O12">
        <v>1</v>
      </c>
      <c r="P12">
        <v>0</v>
      </c>
      <c r="Q12">
        <v>0</v>
      </c>
      <c r="R12">
        <v>30239</v>
      </c>
      <c r="T12" s="6" t="s">
        <v>898</v>
      </c>
      <c r="U12" s="3"/>
      <c r="V12" s="7">
        <f>V11-V9</f>
        <v>122072</v>
      </c>
    </row>
    <row r="13" spans="1:22" x14ac:dyDescent="0.25">
      <c r="A13">
        <v>185809</v>
      </c>
      <c r="B13" t="s">
        <v>256</v>
      </c>
      <c r="C13" t="s">
        <v>13</v>
      </c>
      <c r="D13" t="s">
        <v>13</v>
      </c>
      <c r="E13">
        <v>622</v>
      </c>
      <c r="F13" t="s">
        <v>758</v>
      </c>
      <c r="G13" t="s">
        <v>194</v>
      </c>
      <c r="H13" t="s">
        <v>759</v>
      </c>
      <c r="I13" t="s">
        <v>760</v>
      </c>
      <c r="J13">
        <v>49.9</v>
      </c>
      <c r="K13" s="1">
        <v>45341</v>
      </c>
      <c r="L13" s="2">
        <v>0.38245370370370368</v>
      </c>
      <c r="M13" t="s">
        <v>699</v>
      </c>
      <c r="N13" t="s">
        <v>700</v>
      </c>
      <c r="O13">
        <v>0</v>
      </c>
      <c r="P13">
        <v>0</v>
      </c>
      <c r="Q13">
        <v>0</v>
      </c>
      <c r="R13">
        <v>31038</v>
      </c>
      <c r="T13" s="6" t="s">
        <v>903</v>
      </c>
      <c r="V13" s="7">
        <f>V9-(V12*1.5)</f>
        <v>-105602</v>
      </c>
    </row>
    <row r="14" spans="1:22" x14ac:dyDescent="0.25">
      <c r="A14">
        <v>186083</v>
      </c>
      <c r="B14" t="s">
        <v>256</v>
      </c>
      <c r="C14" t="s">
        <v>13</v>
      </c>
      <c r="D14" t="s">
        <v>16</v>
      </c>
      <c r="E14">
        <v>624</v>
      </c>
      <c r="F14" t="s">
        <v>822</v>
      </c>
      <c r="G14" t="s">
        <v>216</v>
      </c>
      <c r="H14" t="s">
        <v>823</v>
      </c>
      <c r="I14" t="s">
        <v>824</v>
      </c>
      <c r="J14">
        <v>49.9</v>
      </c>
      <c r="K14" s="1">
        <v>45341</v>
      </c>
      <c r="L14" s="2">
        <v>0.37129629629629629</v>
      </c>
      <c r="M14" t="s">
        <v>811</v>
      </c>
      <c r="N14" t="s">
        <v>252</v>
      </c>
      <c r="O14">
        <v>0</v>
      </c>
      <c r="P14">
        <v>1</v>
      </c>
      <c r="Q14">
        <v>1</v>
      </c>
      <c r="R14">
        <v>31138</v>
      </c>
      <c r="T14" s="6" t="s">
        <v>904</v>
      </c>
      <c r="V14" s="7">
        <f>V11+(1.5*V12)</f>
        <v>382686</v>
      </c>
    </row>
    <row r="15" spans="1:22" x14ac:dyDescent="0.25">
      <c r="A15">
        <v>174708</v>
      </c>
      <c r="B15" t="s">
        <v>269</v>
      </c>
      <c r="C15" t="s">
        <v>13</v>
      </c>
      <c r="D15" t="s">
        <v>16</v>
      </c>
      <c r="E15">
        <v>529</v>
      </c>
      <c r="F15" t="s">
        <v>843</v>
      </c>
      <c r="G15" t="s">
        <v>223</v>
      </c>
      <c r="H15" t="s">
        <v>844</v>
      </c>
      <c r="I15" t="s">
        <v>845</v>
      </c>
      <c r="J15">
        <v>59.9</v>
      </c>
      <c r="K15" s="1">
        <v>45341</v>
      </c>
      <c r="L15" s="2">
        <v>0.37137731481481484</v>
      </c>
      <c r="M15" t="s">
        <v>699</v>
      </c>
      <c r="N15" t="s">
        <v>252</v>
      </c>
      <c r="O15">
        <v>0</v>
      </c>
      <c r="P15">
        <v>1</v>
      </c>
      <c r="Q15">
        <v>1</v>
      </c>
      <c r="R15">
        <v>31687</v>
      </c>
    </row>
    <row r="16" spans="1:22" x14ac:dyDescent="0.25">
      <c r="A16">
        <v>137044</v>
      </c>
      <c r="B16" t="s">
        <v>12</v>
      </c>
      <c r="C16" t="s">
        <v>13</v>
      </c>
      <c r="D16" t="s">
        <v>16</v>
      </c>
      <c r="E16">
        <v>2534</v>
      </c>
      <c r="F16" t="s">
        <v>502</v>
      </c>
      <c r="G16" t="s">
        <v>144</v>
      </c>
      <c r="H16" t="s">
        <v>330</v>
      </c>
      <c r="I16" t="s">
        <v>343</v>
      </c>
      <c r="J16">
        <v>12.99</v>
      </c>
      <c r="K16" s="1">
        <v>45341</v>
      </c>
      <c r="L16" s="2">
        <v>0.38246527777777778</v>
      </c>
      <c r="M16" t="s">
        <v>251</v>
      </c>
      <c r="N16" t="s">
        <v>252</v>
      </c>
      <c r="O16">
        <v>0</v>
      </c>
      <c r="P16">
        <v>1</v>
      </c>
      <c r="Q16">
        <v>1</v>
      </c>
      <c r="R16">
        <v>32917</v>
      </c>
    </row>
    <row r="17" spans="1:18" x14ac:dyDescent="0.25">
      <c r="A17">
        <v>155010</v>
      </c>
      <c r="B17" t="s">
        <v>12</v>
      </c>
      <c r="C17" t="s">
        <v>16</v>
      </c>
      <c r="D17" t="s">
        <v>16</v>
      </c>
      <c r="E17">
        <v>729</v>
      </c>
      <c r="F17" t="s">
        <v>885</v>
      </c>
      <c r="G17" t="s">
        <v>237</v>
      </c>
      <c r="H17" t="s">
        <v>886</v>
      </c>
      <c r="I17" t="s">
        <v>887</v>
      </c>
      <c r="J17">
        <v>45.9</v>
      </c>
      <c r="K17" s="1">
        <v>45341</v>
      </c>
      <c r="L17" s="2">
        <v>0.37260416666666668</v>
      </c>
      <c r="M17" t="s">
        <v>849</v>
      </c>
      <c r="N17" t="s">
        <v>252</v>
      </c>
      <c r="O17">
        <v>1</v>
      </c>
      <c r="P17">
        <v>1</v>
      </c>
      <c r="Q17">
        <v>1</v>
      </c>
      <c r="R17">
        <v>33461</v>
      </c>
    </row>
    <row r="18" spans="1:18" x14ac:dyDescent="0.25">
      <c r="A18">
        <v>186681</v>
      </c>
      <c r="B18" t="s">
        <v>256</v>
      </c>
      <c r="C18" t="s">
        <v>13</v>
      </c>
      <c r="D18" t="s">
        <v>16</v>
      </c>
      <c r="E18">
        <v>1717</v>
      </c>
      <c r="F18" t="s">
        <v>404</v>
      </c>
      <c r="G18" t="s">
        <v>69</v>
      </c>
      <c r="H18" t="s">
        <v>405</v>
      </c>
      <c r="I18" t="s">
        <v>406</v>
      </c>
      <c r="J18">
        <v>19.989999999999998</v>
      </c>
      <c r="K18" s="1">
        <v>45341</v>
      </c>
      <c r="L18" s="2">
        <v>0.36851851851851852</v>
      </c>
      <c r="M18" t="s">
        <v>251</v>
      </c>
      <c r="N18" t="s">
        <v>252</v>
      </c>
      <c r="O18">
        <v>0</v>
      </c>
      <c r="P18">
        <v>1</v>
      </c>
      <c r="Q18">
        <v>1</v>
      </c>
      <c r="R18">
        <v>34323</v>
      </c>
    </row>
    <row r="19" spans="1:18" x14ac:dyDescent="0.25">
      <c r="A19">
        <v>122307</v>
      </c>
      <c r="B19" t="s">
        <v>256</v>
      </c>
      <c r="C19" t="s">
        <v>13</v>
      </c>
      <c r="D19" t="s">
        <v>13</v>
      </c>
      <c r="E19">
        <v>702</v>
      </c>
      <c r="F19" t="s">
        <v>865</v>
      </c>
      <c r="G19" t="s">
        <v>230</v>
      </c>
      <c r="H19" t="s">
        <v>866</v>
      </c>
      <c r="I19" t="s">
        <v>867</v>
      </c>
      <c r="J19">
        <v>49.9</v>
      </c>
      <c r="K19" s="1">
        <v>45341</v>
      </c>
      <c r="L19" s="2">
        <v>0.37255787037037036</v>
      </c>
      <c r="M19" t="s">
        <v>849</v>
      </c>
      <c r="N19" t="s">
        <v>252</v>
      </c>
      <c r="O19">
        <v>0</v>
      </c>
      <c r="P19">
        <v>0</v>
      </c>
      <c r="Q19">
        <v>1</v>
      </c>
      <c r="R19">
        <v>35030</v>
      </c>
    </row>
    <row r="20" spans="1:18" x14ac:dyDescent="0.25">
      <c r="A20">
        <v>147690</v>
      </c>
      <c r="B20" t="s">
        <v>12</v>
      </c>
      <c r="C20" t="s">
        <v>16</v>
      </c>
      <c r="D20" t="s">
        <v>13</v>
      </c>
      <c r="E20">
        <v>881</v>
      </c>
      <c r="F20" t="s">
        <v>891</v>
      </c>
      <c r="G20" t="s">
        <v>239</v>
      </c>
      <c r="H20" t="s">
        <v>892</v>
      </c>
      <c r="I20" t="s">
        <v>893</v>
      </c>
      <c r="J20">
        <v>39.9</v>
      </c>
      <c r="K20" s="1">
        <v>45341</v>
      </c>
      <c r="L20" s="2">
        <v>0.37261574074074072</v>
      </c>
      <c r="M20" t="s">
        <v>849</v>
      </c>
      <c r="N20" t="s">
        <v>252</v>
      </c>
      <c r="O20">
        <v>1</v>
      </c>
      <c r="P20">
        <v>0</v>
      </c>
      <c r="Q20">
        <v>1</v>
      </c>
      <c r="R20">
        <v>35152</v>
      </c>
    </row>
    <row r="21" spans="1:18" x14ac:dyDescent="0.25">
      <c r="A21">
        <v>199279</v>
      </c>
      <c r="B21" t="s">
        <v>12</v>
      </c>
      <c r="C21" t="s">
        <v>13</v>
      </c>
      <c r="D21" t="s">
        <v>13</v>
      </c>
      <c r="E21">
        <v>1770</v>
      </c>
      <c r="F21" t="s">
        <v>502</v>
      </c>
      <c r="G21" t="s">
        <v>104</v>
      </c>
      <c r="H21" t="s">
        <v>503</v>
      </c>
      <c r="I21" t="s">
        <v>504</v>
      </c>
      <c r="J21">
        <v>19.989999999999998</v>
      </c>
      <c r="K21" s="1">
        <v>45341</v>
      </c>
      <c r="L21" s="2">
        <v>0.36880787037037038</v>
      </c>
      <c r="M21" t="s">
        <v>251</v>
      </c>
      <c r="N21" t="s">
        <v>252</v>
      </c>
      <c r="O21">
        <v>0</v>
      </c>
      <c r="P21">
        <v>0</v>
      </c>
      <c r="Q21">
        <v>1</v>
      </c>
      <c r="R21">
        <v>35382</v>
      </c>
    </row>
    <row r="22" spans="1:18" x14ac:dyDescent="0.25">
      <c r="A22">
        <v>154846</v>
      </c>
      <c r="B22" t="s">
        <v>256</v>
      </c>
      <c r="C22" t="s">
        <v>16</v>
      </c>
      <c r="D22" t="s">
        <v>13</v>
      </c>
      <c r="E22">
        <v>917</v>
      </c>
      <c r="F22" t="s">
        <v>862</v>
      </c>
      <c r="G22" t="s">
        <v>229</v>
      </c>
      <c r="H22" t="s">
        <v>863</v>
      </c>
      <c r="I22" t="s">
        <v>864</v>
      </c>
      <c r="J22">
        <v>39.9</v>
      </c>
      <c r="K22" s="1">
        <v>45341</v>
      </c>
      <c r="L22" s="2">
        <v>0.37254629629629632</v>
      </c>
      <c r="M22" t="s">
        <v>849</v>
      </c>
      <c r="N22" t="s">
        <v>252</v>
      </c>
      <c r="O22">
        <v>1</v>
      </c>
      <c r="P22">
        <v>0</v>
      </c>
      <c r="Q22">
        <v>1</v>
      </c>
      <c r="R22">
        <v>36588</v>
      </c>
    </row>
    <row r="23" spans="1:18" x14ac:dyDescent="0.25">
      <c r="A23">
        <v>136272</v>
      </c>
      <c r="B23" t="s">
        <v>256</v>
      </c>
      <c r="C23" t="s">
        <v>13</v>
      </c>
      <c r="D23" t="s">
        <v>16</v>
      </c>
      <c r="E23">
        <v>2887</v>
      </c>
      <c r="F23" t="s">
        <v>834</v>
      </c>
      <c r="G23" t="s">
        <v>220</v>
      </c>
      <c r="H23" t="s">
        <v>835</v>
      </c>
      <c r="I23" t="s">
        <v>836</v>
      </c>
      <c r="J23">
        <v>12.99</v>
      </c>
      <c r="K23" s="1">
        <v>45341</v>
      </c>
      <c r="L23" s="2">
        <v>0.37135416666666665</v>
      </c>
      <c r="M23" t="s">
        <v>699</v>
      </c>
      <c r="N23" t="s">
        <v>252</v>
      </c>
      <c r="O23">
        <v>0</v>
      </c>
      <c r="P23">
        <v>1</v>
      </c>
      <c r="Q23">
        <v>1</v>
      </c>
      <c r="R23">
        <v>37502</v>
      </c>
    </row>
    <row r="24" spans="1:18" x14ac:dyDescent="0.25">
      <c r="A24">
        <v>170364</v>
      </c>
      <c r="B24" t="s">
        <v>12</v>
      </c>
      <c r="C24" t="s">
        <v>13</v>
      </c>
      <c r="D24" t="s">
        <v>13</v>
      </c>
      <c r="E24">
        <v>818</v>
      </c>
      <c r="F24" t="s">
        <v>650</v>
      </c>
      <c r="G24" t="s">
        <v>158</v>
      </c>
      <c r="H24" t="s">
        <v>651</v>
      </c>
      <c r="I24" t="s">
        <v>652</v>
      </c>
      <c r="J24">
        <v>45.9</v>
      </c>
      <c r="K24" s="1">
        <v>45341</v>
      </c>
      <c r="L24" s="2">
        <v>0.3754513888888889</v>
      </c>
      <c r="M24" t="s">
        <v>610</v>
      </c>
      <c r="N24" t="s">
        <v>252</v>
      </c>
      <c r="O24">
        <v>0</v>
      </c>
      <c r="P24">
        <v>0</v>
      </c>
      <c r="Q24">
        <v>1</v>
      </c>
      <c r="R24">
        <v>37546</v>
      </c>
    </row>
    <row r="25" spans="1:18" x14ac:dyDescent="0.25">
      <c r="A25">
        <v>185154</v>
      </c>
      <c r="B25" t="s">
        <v>12</v>
      </c>
      <c r="C25" t="s">
        <v>16</v>
      </c>
      <c r="D25" t="s">
        <v>13</v>
      </c>
      <c r="E25">
        <v>996</v>
      </c>
      <c r="F25" t="s">
        <v>877</v>
      </c>
      <c r="G25" t="s">
        <v>234</v>
      </c>
      <c r="H25" t="s">
        <v>878</v>
      </c>
      <c r="I25" t="s">
        <v>879</v>
      </c>
      <c r="J25">
        <v>39.9</v>
      </c>
      <c r="K25" s="1">
        <v>45341</v>
      </c>
      <c r="L25" s="2">
        <v>0.37258101851851849</v>
      </c>
      <c r="M25" t="s">
        <v>849</v>
      </c>
      <c r="N25" t="s">
        <v>252</v>
      </c>
      <c r="O25">
        <v>1</v>
      </c>
      <c r="P25">
        <v>0</v>
      </c>
      <c r="Q25">
        <v>1</v>
      </c>
      <c r="R25">
        <v>39740</v>
      </c>
    </row>
    <row r="26" spans="1:18" x14ac:dyDescent="0.25">
      <c r="A26">
        <v>122926</v>
      </c>
      <c r="B26" t="s">
        <v>256</v>
      </c>
      <c r="C26" t="s">
        <v>13</v>
      </c>
      <c r="D26" t="s">
        <v>13</v>
      </c>
      <c r="E26">
        <v>867</v>
      </c>
      <c r="F26" t="s">
        <v>764</v>
      </c>
      <c r="G26" t="s">
        <v>196</v>
      </c>
      <c r="H26" t="s">
        <v>765</v>
      </c>
      <c r="I26" t="s">
        <v>766</v>
      </c>
      <c r="J26">
        <v>45.9</v>
      </c>
      <c r="K26" s="1">
        <v>45341</v>
      </c>
      <c r="L26" s="2">
        <v>0.38246527777777778</v>
      </c>
      <c r="M26" t="s">
        <v>699</v>
      </c>
      <c r="N26" t="s">
        <v>700</v>
      </c>
      <c r="O26">
        <v>0</v>
      </c>
      <c r="P26">
        <v>0</v>
      </c>
      <c r="Q26">
        <v>0</v>
      </c>
      <c r="R26">
        <v>39795</v>
      </c>
    </row>
    <row r="27" spans="1:18" x14ac:dyDescent="0.25">
      <c r="A27">
        <v>158958</v>
      </c>
      <c r="B27" t="s">
        <v>256</v>
      </c>
      <c r="C27" t="s">
        <v>13</v>
      </c>
      <c r="D27" t="s">
        <v>13</v>
      </c>
      <c r="E27">
        <v>903</v>
      </c>
      <c r="F27" t="s">
        <v>883</v>
      </c>
      <c r="G27" t="s">
        <v>236</v>
      </c>
      <c r="H27" t="s">
        <v>866</v>
      </c>
      <c r="I27" t="s">
        <v>884</v>
      </c>
      <c r="J27">
        <v>45.9</v>
      </c>
      <c r="K27" s="1">
        <v>45341</v>
      </c>
      <c r="L27" s="2">
        <v>0.37260416666666668</v>
      </c>
      <c r="M27" t="s">
        <v>849</v>
      </c>
      <c r="N27" t="s">
        <v>252</v>
      </c>
      <c r="O27">
        <v>0</v>
      </c>
      <c r="P27">
        <v>0</v>
      </c>
      <c r="Q27">
        <v>1</v>
      </c>
      <c r="R27">
        <v>41448</v>
      </c>
    </row>
    <row r="28" spans="1:18" x14ac:dyDescent="0.25">
      <c r="A28">
        <v>144012</v>
      </c>
      <c r="B28" t="s">
        <v>269</v>
      </c>
      <c r="C28" t="s">
        <v>16</v>
      </c>
      <c r="D28" t="s">
        <v>13</v>
      </c>
      <c r="E28">
        <v>743</v>
      </c>
      <c r="F28" t="s">
        <v>596</v>
      </c>
      <c r="G28" t="s">
        <v>140</v>
      </c>
      <c r="H28" t="s">
        <v>597</v>
      </c>
      <c r="I28" t="s">
        <v>598</v>
      </c>
      <c r="J28">
        <v>59.9</v>
      </c>
      <c r="K28" s="1">
        <v>45341</v>
      </c>
      <c r="L28" s="2">
        <v>0.36922453703703706</v>
      </c>
      <c r="M28" t="s">
        <v>251</v>
      </c>
      <c r="N28" t="s">
        <v>252</v>
      </c>
      <c r="O28">
        <v>1</v>
      </c>
      <c r="P28">
        <v>0</v>
      </c>
      <c r="Q28">
        <v>1</v>
      </c>
      <c r="R28">
        <v>44506</v>
      </c>
    </row>
    <row r="29" spans="1:18" x14ac:dyDescent="0.25">
      <c r="A29">
        <v>155674</v>
      </c>
      <c r="B29" t="s">
        <v>269</v>
      </c>
      <c r="C29" t="s">
        <v>13</v>
      </c>
      <c r="D29" t="s">
        <v>13</v>
      </c>
      <c r="E29">
        <v>897</v>
      </c>
      <c r="F29" t="s">
        <v>743</v>
      </c>
      <c r="G29" t="s">
        <v>189</v>
      </c>
      <c r="H29" t="s">
        <v>744</v>
      </c>
      <c r="I29" t="s">
        <v>745</v>
      </c>
      <c r="J29">
        <v>49.9</v>
      </c>
      <c r="K29" s="1">
        <v>45341</v>
      </c>
      <c r="L29" s="2">
        <v>0.38241898148148146</v>
      </c>
      <c r="M29" t="s">
        <v>699</v>
      </c>
      <c r="N29" t="s">
        <v>700</v>
      </c>
      <c r="O29">
        <v>0</v>
      </c>
      <c r="P29">
        <v>0</v>
      </c>
      <c r="Q29">
        <v>0</v>
      </c>
      <c r="R29">
        <v>44760</v>
      </c>
    </row>
    <row r="30" spans="1:18" x14ac:dyDescent="0.25">
      <c r="A30">
        <v>160763</v>
      </c>
      <c r="B30" t="s">
        <v>269</v>
      </c>
      <c r="C30" t="s">
        <v>16</v>
      </c>
      <c r="D30" t="s">
        <v>16</v>
      </c>
      <c r="E30">
        <v>991</v>
      </c>
      <c r="F30" t="s">
        <v>677</v>
      </c>
      <c r="G30" t="s">
        <v>167</v>
      </c>
      <c r="H30" t="s">
        <v>678</v>
      </c>
      <c r="I30" t="s">
        <v>679</v>
      </c>
      <c r="J30">
        <v>45.9</v>
      </c>
      <c r="K30" s="1">
        <v>45341</v>
      </c>
      <c r="L30" s="2">
        <v>0.37554398148148149</v>
      </c>
      <c r="M30" t="s">
        <v>610</v>
      </c>
      <c r="N30" t="s">
        <v>252</v>
      </c>
      <c r="O30">
        <v>1</v>
      </c>
      <c r="P30">
        <v>1</v>
      </c>
      <c r="Q30">
        <v>1</v>
      </c>
      <c r="R30">
        <v>45487</v>
      </c>
    </row>
    <row r="31" spans="1:18" x14ac:dyDescent="0.25">
      <c r="A31">
        <v>183537</v>
      </c>
      <c r="B31" t="s">
        <v>269</v>
      </c>
      <c r="C31" t="s">
        <v>16</v>
      </c>
      <c r="D31" t="s">
        <v>16</v>
      </c>
      <c r="E31">
        <v>2434</v>
      </c>
      <c r="F31" t="s">
        <v>587</v>
      </c>
      <c r="G31" t="s">
        <v>137</v>
      </c>
      <c r="H31" t="s">
        <v>588</v>
      </c>
      <c r="I31" t="s">
        <v>589</v>
      </c>
      <c r="J31">
        <v>19.989999999999998</v>
      </c>
      <c r="K31" s="1">
        <v>45341</v>
      </c>
      <c r="L31" s="2">
        <v>0.36921296296296297</v>
      </c>
      <c r="M31" t="s">
        <v>251</v>
      </c>
      <c r="N31" t="s">
        <v>252</v>
      </c>
      <c r="O31">
        <v>1</v>
      </c>
      <c r="P31">
        <v>1</v>
      </c>
      <c r="Q31">
        <v>1</v>
      </c>
      <c r="R31">
        <v>48656</v>
      </c>
    </row>
    <row r="32" spans="1:18" x14ac:dyDescent="0.25">
      <c r="A32">
        <v>118569</v>
      </c>
      <c r="B32" t="s">
        <v>12</v>
      </c>
      <c r="C32" t="s">
        <v>13</v>
      </c>
      <c r="D32" t="s">
        <v>16</v>
      </c>
      <c r="E32">
        <v>994</v>
      </c>
      <c r="F32" t="s">
        <v>719</v>
      </c>
      <c r="G32" t="s">
        <v>181</v>
      </c>
      <c r="H32" t="s">
        <v>720</v>
      </c>
      <c r="I32" t="s">
        <v>721</v>
      </c>
      <c r="J32">
        <v>49.9</v>
      </c>
      <c r="K32" s="1">
        <v>45341</v>
      </c>
      <c r="L32" s="2">
        <v>0.3823611111111111</v>
      </c>
      <c r="M32" t="s">
        <v>699</v>
      </c>
      <c r="N32" t="s">
        <v>700</v>
      </c>
      <c r="O32">
        <v>0</v>
      </c>
      <c r="P32">
        <v>1</v>
      </c>
      <c r="Q32">
        <v>0</v>
      </c>
      <c r="R32">
        <v>49601</v>
      </c>
    </row>
    <row r="33" spans="1:18" x14ac:dyDescent="0.25">
      <c r="A33">
        <v>167281</v>
      </c>
      <c r="B33" t="s">
        <v>256</v>
      </c>
      <c r="C33" t="s">
        <v>16</v>
      </c>
      <c r="D33" t="s">
        <v>16</v>
      </c>
      <c r="E33">
        <v>892</v>
      </c>
      <c r="F33" t="s">
        <v>623</v>
      </c>
      <c r="G33" t="s">
        <v>149</v>
      </c>
      <c r="H33" t="s">
        <v>624</v>
      </c>
      <c r="I33" t="s">
        <v>625</v>
      </c>
      <c r="J33">
        <v>59.9</v>
      </c>
      <c r="K33" s="1">
        <v>45341</v>
      </c>
      <c r="L33" s="2">
        <v>0.37537037037037035</v>
      </c>
      <c r="M33" t="s">
        <v>610</v>
      </c>
      <c r="N33" t="s">
        <v>252</v>
      </c>
      <c r="O33">
        <v>1</v>
      </c>
      <c r="P33">
        <v>1</v>
      </c>
      <c r="Q33">
        <v>1</v>
      </c>
      <c r="R33">
        <v>53431</v>
      </c>
    </row>
    <row r="34" spans="1:18" x14ac:dyDescent="0.25">
      <c r="A34">
        <v>165326</v>
      </c>
      <c r="B34" t="s">
        <v>12</v>
      </c>
      <c r="C34" t="s">
        <v>13</v>
      </c>
      <c r="D34" t="s">
        <v>13</v>
      </c>
      <c r="E34">
        <v>1188</v>
      </c>
      <c r="F34" t="s">
        <v>874</v>
      </c>
      <c r="G34" t="s">
        <v>233</v>
      </c>
      <c r="H34" t="s">
        <v>875</v>
      </c>
      <c r="I34" t="s">
        <v>876</v>
      </c>
      <c r="J34">
        <v>45.9</v>
      </c>
      <c r="K34" s="1">
        <v>45341</v>
      </c>
      <c r="L34" s="2">
        <v>0.37258101851851849</v>
      </c>
      <c r="M34" t="s">
        <v>849</v>
      </c>
      <c r="N34" t="s">
        <v>252</v>
      </c>
      <c r="O34">
        <v>0</v>
      </c>
      <c r="P34">
        <v>0</v>
      </c>
      <c r="Q34">
        <v>1</v>
      </c>
      <c r="R34">
        <v>54529</v>
      </c>
    </row>
    <row r="35" spans="1:18" x14ac:dyDescent="0.25">
      <c r="A35">
        <v>159816</v>
      </c>
      <c r="B35" t="s">
        <v>269</v>
      </c>
      <c r="C35" t="s">
        <v>13</v>
      </c>
      <c r="D35" t="s">
        <v>16</v>
      </c>
      <c r="E35">
        <v>1961</v>
      </c>
      <c r="F35" t="s">
        <v>871</v>
      </c>
      <c r="G35" t="s">
        <v>232</v>
      </c>
      <c r="H35" t="s">
        <v>872</v>
      </c>
      <c r="I35" t="s">
        <v>873</v>
      </c>
      <c r="J35">
        <v>27.9</v>
      </c>
      <c r="K35" s="1">
        <v>45341</v>
      </c>
      <c r="L35" s="2">
        <v>0.37256944444444445</v>
      </c>
      <c r="M35" t="s">
        <v>849</v>
      </c>
      <c r="N35" t="s">
        <v>252</v>
      </c>
      <c r="O35">
        <v>0</v>
      </c>
      <c r="P35">
        <v>1</v>
      </c>
      <c r="Q35">
        <v>1</v>
      </c>
      <c r="R35">
        <v>54712</v>
      </c>
    </row>
    <row r="36" spans="1:18" x14ac:dyDescent="0.25">
      <c r="A36">
        <v>129134</v>
      </c>
      <c r="B36" t="s">
        <v>12</v>
      </c>
      <c r="C36" t="s">
        <v>13</v>
      </c>
      <c r="D36" t="s">
        <v>16</v>
      </c>
      <c r="E36">
        <v>1831</v>
      </c>
      <c r="F36" t="s">
        <v>853</v>
      </c>
      <c r="G36" t="s">
        <v>226</v>
      </c>
      <c r="H36" t="s">
        <v>854</v>
      </c>
      <c r="I36" t="s">
        <v>855</v>
      </c>
      <c r="J36">
        <v>29.9</v>
      </c>
      <c r="K36" s="1">
        <v>45341</v>
      </c>
      <c r="L36" s="2">
        <v>0.37253472222222223</v>
      </c>
      <c r="M36" t="s">
        <v>849</v>
      </c>
      <c r="N36" t="s">
        <v>252</v>
      </c>
      <c r="O36">
        <v>0</v>
      </c>
      <c r="P36">
        <v>1</v>
      </c>
      <c r="Q36">
        <v>1</v>
      </c>
      <c r="R36">
        <v>54747</v>
      </c>
    </row>
    <row r="37" spans="1:18" x14ac:dyDescent="0.25">
      <c r="A37">
        <v>144497</v>
      </c>
      <c r="B37" t="s">
        <v>256</v>
      </c>
      <c r="C37" t="s">
        <v>16</v>
      </c>
      <c r="D37" t="s">
        <v>16</v>
      </c>
      <c r="E37">
        <v>1105</v>
      </c>
      <c r="F37" t="s">
        <v>707</v>
      </c>
      <c r="G37" t="s">
        <v>177</v>
      </c>
      <c r="H37" t="s">
        <v>708</v>
      </c>
      <c r="I37" t="s">
        <v>709</v>
      </c>
      <c r="J37">
        <v>49.9</v>
      </c>
      <c r="K37" s="1">
        <v>45341</v>
      </c>
      <c r="L37" s="2">
        <v>0.38232638888888887</v>
      </c>
      <c r="M37" t="s">
        <v>699</v>
      </c>
      <c r="N37" t="s">
        <v>700</v>
      </c>
      <c r="O37">
        <v>1</v>
      </c>
      <c r="P37">
        <v>1</v>
      </c>
      <c r="Q37">
        <v>0</v>
      </c>
      <c r="R37">
        <v>55140</v>
      </c>
    </row>
    <row r="38" spans="1:18" x14ac:dyDescent="0.25">
      <c r="A38">
        <v>185102</v>
      </c>
      <c r="B38" t="s">
        <v>12</v>
      </c>
      <c r="C38" t="s">
        <v>13</v>
      </c>
      <c r="D38" t="s">
        <v>13</v>
      </c>
      <c r="E38">
        <v>2823</v>
      </c>
      <c r="F38" t="s">
        <v>248</v>
      </c>
      <c r="G38" t="s">
        <v>14</v>
      </c>
      <c r="H38" t="s">
        <v>249</v>
      </c>
      <c r="I38" t="s">
        <v>250</v>
      </c>
      <c r="J38">
        <v>19.989999999999998</v>
      </c>
      <c r="K38" s="1">
        <v>45341</v>
      </c>
      <c r="L38" s="2">
        <v>0.36811342592592594</v>
      </c>
      <c r="M38" t="s">
        <v>251</v>
      </c>
      <c r="N38" t="s">
        <v>252</v>
      </c>
      <c r="O38">
        <v>0</v>
      </c>
      <c r="P38">
        <v>0</v>
      </c>
      <c r="Q38">
        <v>1</v>
      </c>
      <c r="R38">
        <v>56432</v>
      </c>
    </row>
    <row r="39" spans="1:18" x14ac:dyDescent="0.25">
      <c r="A39">
        <v>116228</v>
      </c>
      <c r="B39" t="s">
        <v>256</v>
      </c>
      <c r="C39" t="s">
        <v>16</v>
      </c>
      <c r="D39" t="s">
        <v>13</v>
      </c>
      <c r="E39">
        <v>647</v>
      </c>
      <c r="F39" t="s">
        <v>384</v>
      </c>
      <c r="G39" t="s">
        <v>62</v>
      </c>
      <c r="H39" t="s">
        <v>385</v>
      </c>
      <c r="I39" t="s">
        <v>386</v>
      </c>
      <c r="J39">
        <v>89.9</v>
      </c>
      <c r="K39" s="1">
        <v>45341</v>
      </c>
      <c r="L39" s="2">
        <v>0.36846064814814816</v>
      </c>
      <c r="M39" t="s">
        <v>251</v>
      </c>
      <c r="N39" t="s">
        <v>252</v>
      </c>
      <c r="O39">
        <v>1</v>
      </c>
      <c r="P39">
        <v>0</v>
      </c>
      <c r="Q39">
        <v>1</v>
      </c>
      <c r="R39">
        <v>58165</v>
      </c>
    </row>
    <row r="40" spans="1:18" x14ac:dyDescent="0.25">
      <c r="A40">
        <v>183825</v>
      </c>
      <c r="B40" t="s">
        <v>12</v>
      </c>
      <c r="C40" t="s">
        <v>16</v>
      </c>
      <c r="D40" t="s">
        <v>16</v>
      </c>
      <c r="E40">
        <v>2989</v>
      </c>
      <c r="F40" t="s">
        <v>593</v>
      </c>
      <c r="G40" t="s">
        <v>139</v>
      </c>
      <c r="H40" t="s">
        <v>594</v>
      </c>
      <c r="I40" t="s">
        <v>595</v>
      </c>
      <c r="J40">
        <v>19.989999999999998</v>
      </c>
      <c r="K40" s="1">
        <v>45341</v>
      </c>
      <c r="L40" s="2">
        <v>0.36922453703703706</v>
      </c>
      <c r="M40" t="s">
        <v>251</v>
      </c>
      <c r="N40" t="s">
        <v>252</v>
      </c>
      <c r="O40">
        <v>1</v>
      </c>
      <c r="P40">
        <v>1</v>
      </c>
      <c r="Q40">
        <v>1</v>
      </c>
      <c r="R40">
        <v>59750</v>
      </c>
    </row>
    <row r="41" spans="1:18" x14ac:dyDescent="0.25">
      <c r="A41">
        <v>168837</v>
      </c>
      <c r="B41" t="s">
        <v>12</v>
      </c>
      <c r="C41" t="s">
        <v>13</v>
      </c>
      <c r="D41" t="s">
        <v>13</v>
      </c>
      <c r="E41">
        <v>665</v>
      </c>
      <c r="F41" t="s">
        <v>380</v>
      </c>
      <c r="G41" t="s">
        <v>60</v>
      </c>
      <c r="H41" t="s">
        <v>357</v>
      </c>
      <c r="I41" t="s">
        <v>358</v>
      </c>
      <c r="J41">
        <v>89.9</v>
      </c>
      <c r="K41" s="1">
        <v>45341</v>
      </c>
      <c r="L41" s="2">
        <v>0.36844907407407407</v>
      </c>
      <c r="M41" t="s">
        <v>251</v>
      </c>
      <c r="N41" t="s">
        <v>252</v>
      </c>
      <c r="O41">
        <v>0</v>
      </c>
      <c r="P41">
        <v>0</v>
      </c>
      <c r="Q41">
        <v>1</v>
      </c>
      <c r="R41">
        <v>59784</v>
      </c>
    </row>
    <row r="42" spans="1:18" x14ac:dyDescent="0.25">
      <c r="A42">
        <v>125938</v>
      </c>
      <c r="B42" t="s">
        <v>12</v>
      </c>
      <c r="C42" t="s">
        <v>16</v>
      </c>
      <c r="D42" t="s">
        <v>16</v>
      </c>
      <c r="E42">
        <v>1204</v>
      </c>
      <c r="F42" t="s">
        <v>731</v>
      </c>
      <c r="G42" t="s">
        <v>185</v>
      </c>
      <c r="H42" t="s">
        <v>732</v>
      </c>
      <c r="I42" t="s">
        <v>733</v>
      </c>
      <c r="J42">
        <v>49.9</v>
      </c>
      <c r="K42" s="1">
        <v>45341</v>
      </c>
      <c r="L42" s="2">
        <v>0.38238425925925928</v>
      </c>
      <c r="M42" t="s">
        <v>699</v>
      </c>
      <c r="N42" t="s">
        <v>700</v>
      </c>
      <c r="O42">
        <v>1</v>
      </c>
      <c r="P42">
        <v>1</v>
      </c>
      <c r="Q42">
        <v>0</v>
      </c>
      <c r="R42">
        <v>60080</v>
      </c>
    </row>
    <row r="43" spans="1:18" x14ac:dyDescent="0.25">
      <c r="A43">
        <v>123230</v>
      </c>
      <c r="B43" t="s">
        <v>12</v>
      </c>
      <c r="C43" t="s">
        <v>13</v>
      </c>
      <c r="D43" t="s">
        <v>16</v>
      </c>
      <c r="E43">
        <v>880</v>
      </c>
      <c r="F43" t="s">
        <v>800</v>
      </c>
      <c r="G43" t="s">
        <v>208</v>
      </c>
      <c r="H43" t="s">
        <v>801</v>
      </c>
      <c r="I43" t="s">
        <v>802</v>
      </c>
      <c r="J43">
        <v>69.900000000000006</v>
      </c>
      <c r="K43" s="1">
        <v>45341</v>
      </c>
      <c r="L43" s="2">
        <v>0.36907407407407405</v>
      </c>
      <c r="M43" t="s">
        <v>251</v>
      </c>
      <c r="N43" t="s">
        <v>252</v>
      </c>
      <c r="O43">
        <v>0</v>
      </c>
      <c r="P43">
        <v>1</v>
      </c>
      <c r="Q43">
        <v>1</v>
      </c>
      <c r="R43">
        <v>61512</v>
      </c>
    </row>
    <row r="44" spans="1:18" x14ac:dyDescent="0.25">
      <c r="A44">
        <v>193332</v>
      </c>
      <c r="B44" t="s">
        <v>12</v>
      </c>
      <c r="C44" t="s">
        <v>16</v>
      </c>
      <c r="D44" t="s">
        <v>13</v>
      </c>
      <c r="E44">
        <v>1237</v>
      </c>
      <c r="F44" t="s">
        <v>691</v>
      </c>
      <c r="G44" t="s">
        <v>172</v>
      </c>
      <c r="H44" t="s">
        <v>692</v>
      </c>
      <c r="I44" t="s">
        <v>693</v>
      </c>
      <c r="J44">
        <v>49.9</v>
      </c>
      <c r="K44" s="1">
        <v>45341</v>
      </c>
      <c r="L44" s="2">
        <v>0.37556712962962963</v>
      </c>
      <c r="M44" t="s">
        <v>610</v>
      </c>
      <c r="N44" t="s">
        <v>252</v>
      </c>
      <c r="O44">
        <v>1</v>
      </c>
      <c r="P44">
        <v>0</v>
      </c>
      <c r="Q44">
        <v>1</v>
      </c>
      <c r="R44">
        <v>61726</v>
      </c>
    </row>
    <row r="45" spans="1:18" x14ac:dyDescent="0.25">
      <c r="A45">
        <v>182866</v>
      </c>
      <c r="B45" t="s">
        <v>12</v>
      </c>
      <c r="C45" t="s">
        <v>13</v>
      </c>
      <c r="D45" t="s">
        <v>16</v>
      </c>
      <c r="E45">
        <v>1552</v>
      </c>
      <c r="F45" t="s">
        <v>746</v>
      </c>
      <c r="G45" t="s">
        <v>190</v>
      </c>
      <c r="H45" t="s">
        <v>747</v>
      </c>
      <c r="I45" t="s">
        <v>748</v>
      </c>
      <c r="J45">
        <v>39.9</v>
      </c>
      <c r="K45" s="1">
        <v>45341</v>
      </c>
      <c r="L45" s="2">
        <v>0.38243055555555555</v>
      </c>
      <c r="M45" t="s">
        <v>699</v>
      </c>
      <c r="N45" t="s">
        <v>700</v>
      </c>
      <c r="O45">
        <v>0</v>
      </c>
      <c r="P45">
        <v>1</v>
      </c>
      <c r="Q45">
        <v>0</v>
      </c>
      <c r="R45">
        <v>61925</v>
      </c>
    </row>
    <row r="46" spans="1:18" x14ac:dyDescent="0.25">
      <c r="A46">
        <v>189692</v>
      </c>
      <c r="B46" t="s">
        <v>256</v>
      </c>
      <c r="C46" t="s">
        <v>16</v>
      </c>
      <c r="D46" t="s">
        <v>13</v>
      </c>
      <c r="E46">
        <v>1553</v>
      </c>
      <c r="F46" t="s">
        <v>859</v>
      </c>
      <c r="G46" t="s">
        <v>228</v>
      </c>
      <c r="H46" t="s">
        <v>860</v>
      </c>
      <c r="I46" t="s">
        <v>861</v>
      </c>
      <c r="J46">
        <v>39.9</v>
      </c>
      <c r="K46" s="1">
        <v>45341</v>
      </c>
      <c r="L46" s="2">
        <v>0.37254629629629632</v>
      </c>
      <c r="M46" t="s">
        <v>849</v>
      </c>
      <c r="N46" t="s">
        <v>252</v>
      </c>
      <c r="O46">
        <v>1</v>
      </c>
      <c r="P46">
        <v>0</v>
      </c>
      <c r="Q46">
        <v>1</v>
      </c>
      <c r="R46">
        <v>61965</v>
      </c>
    </row>
    <row r="47" spans="1:18" x14ac:dyDescent="0.25">
      <c r="A47">
        <v>187930</v>
      </c>
      <c r="B47" t="s">
        <v>256</v>
      </c>
      <c r="C47" t="s">
        <v>13</v>
      </c>
      <c r="D47" t="s">
        <v>16</v>
      </c>
      <c r="E47">
        <v>706</v>
      </c>
      <c r="F47" t="s">
        <v>413</v>
      </c>
      <c r="G47" t="s">
        <v>72</v>
      </c>
      <c r="H47" t="s">
        <v>414</v>
      </c>
      <c r="I47" t="s">
        <v>415</v>
      </c>
      <c r="J47">
        <v>89.9</v>
      </c>
      <c r="K47" s="1">
        <v>45341</v>
      </c>
      <c r="L47" s="2">
        <v>0.36853009259259262</v>
      </c>
      <c r="M47" t="s">
        <v>251</v>
      </c>
      <c r="N47" t="s">
        <v>252</v>
      </c>
      <c r="O47">
        <v>0</v>
      </c>
      <c r="P47">
        <v>1</v>
      </c>
      <c r="Q47">
        <v>1</v>
      </c>
      <c r="R47">
        <v>63469</v>
      </c>
    </row>
    <row r="48" spans="1:18" x14ac:dyDescent="0.25">
      <c r="A48">
        <v>167592</v>
      </c>
      <c r="B48" t="s">
        <v>269</v>
      </c>
      <c r="C48" t="s">
        <v>16</v>
      </c>
      <c r="D48" t="s">
        <v>13</v>
      </c>
      <c r="E48">
        <v>707</v>
      </c>
      <c r="F48" t="s">
        <v>387</v>
      </c>
      <c r="G48" t="s">
        <v>63</v>
      </c>
      <c r="H48" t="s">
        <v>388</v>
      </c>
      <c r="I48" t="s">
        <v>389</v>
      </c>
      <c r="J48">
        <v>89.9</v>
      </c>
      <c r="K48" s="1">
        <v>45341</v>
      </c>
      <c r="L48" s="2">
        <v>0.3684722222222222</v>
      </c>
      <c r="M48" t="s">
        <v>251</v>
      </c>
      <c r="N48" t="s">
        <v>252</v>
      </c>
      <c r="O48">
        <v>1</v>
      </c>
      <c r="P48">
        <v>0</v>
      </c>
      <c r="Q48">
        <v>1</v>
      </c>
      <c r="R48">
        <v>63559</v>
      </c>
    </row>
    <row r="49" spans="1:18" x14ac:dyDescent="0.25">
      <c r="A49">
        <v>195082</v>
      </c>
      <c r="B49" t="s">
        <v>269</v>
      </c>
      <c r="C49" t="s">
        <v>13</v>
      </c>
      <c r="D49" t="s">
        <v>13</v>
      </c>
      <c r="E49">
        <v>923</v>
      </c>
      <c r="F49" t="s">
        <v>682</v>
      </c>
      <c r="G49" t="s">
        <v>169</v>
      </c>
      <c r="H49" t="s">
        <v>683</v>
      </c>
      <c r="I49" t="s">
        <v>684</v>
      </c>
      <c r="J49">
        <v>69.900000000000006</v>
      </c>
      <c r="K49" s="1">
        <v>45341</v>
      </c>
      <c r="L49" s="2">
        <v>0.37555555555555553</v>
      </c>
      <c r="M49" t="s">
        <v>610</v>
      </c>
      <c r="N49" t="s">
        <v>252</v>
      </c>
      <c r="O49">
        <v>0</v>
      </c>
      <c r="P49">
        <v>0</v>
      </c>
      <c r="Q49">
        <v>1</v>
      </c>
      <c r="R49">
        <v>64518</v>
      </c>
    </row>
    <row r="50" spans="1:18" x14ac:dyDescent="0.25">
      <c r="A50">
        <v>154676</v>
      </c>
      <c r="B50" t="s">
        <v>12</v>
      </c>
      <c r="C50" t="s">
        <v>13</v>
      </c>
      <c r="D50" t="s">
        <v>13</v>
      </c>
      <c r="E50">
        <v>943</v>
      </c>
      <c r="F50" t="s">
        <v>803</v>
      </c>
      <c r="G50" t="s">
        <v>209</v>
      </c>
      <c r="H50" t="s">
        <v>804</v>
      </c>
      <c r="I50" t="s">
        <v>805</v>
      </c>
      <c r="J50">
        <v>69.900000000000006</v>
      </c>
      <c r="K50" s="1">
        <v>45341</v>
      </c>
      <c r="L50" s="2">
        <v>0.36908564814814815</v>
      </c>
      <c r="M50" t="s">
        <v>251</v>
      </c>
      <c r="N50" t="s">
        <v>252</v>
      </c>
      <c r="O50">
        <v>0</v>
      </c>
      <c r="P50">
        <v>0</v>
      </c>
      <c r="Q50">
        <v>1</v>
      </c>
      <c r="R50">
        <v>65916</v>
      </c>
    </row>
    <row r="51" spans="1:18" x14ac:dyDescent="0.25">
      <c r="A51">
        <v>189118</v>
      </c>
      <c r="B51" t="s">
        <v>269</v>
      </c>
      <c r="C51" t="s">
        <v>16</v>
      </c>
      <c r="D51" t="s">
        <v>16</v>
      </c>
      <c r="E51">
        <v>952</v>
      </c>
      <c r="F51" t="s">
        <v>270</v>
      </c>
      <c r="G51" t="s">
        <v>21</v>
      </c>
      <c r="H51" t="s">
        <v>271</v>
      </c>
      <c r="I51" t="s">
        <v>272</v>
      </c>
      <c r="J51">
        <v>69.989999999999995</v>
      </c>
      <c r="K51" s="1">
        <v>45341</v>
      </c>
      <c r="L51" s="2">
        <v>0.36815972222222221</v>
      </c>
      <c r="M51" t="s">
        <v>251</v>
      </c>
      <c r="N51" t="s">
        <v>252</v>
      </c>
      <c r="O51">
        <v>1</v>
      </c>
      <c r="P51">
        <v>1</v>
      </c>
      <c r="Q51">
        <v>1</v>
      </c>
      <c r="R51">
        <v>66630</v>
      </c>
    </row>
    <row r="52" spans="1:18" x14ac:dyDescent="0.25">
      <c r="A52">
        <v>198329</v>
      </c>
      <c r="B52" t="s">
        <v>269</v>
      </c>
      <c r="C52" t="s">
        <v>16</v>
      </c>
      <c r="D52" t="s">
        <v>16</v>
      </c>
      <c r="E52">
        <v>628</v>
      </c>
      <c r="F52" t="s">
        <v>527</v>
      </c>
      <c r="G52" t="s">
        <v>115</v>
      </c>
      <c r="H52" t="s">
        <v>528</v>
      </c>
      <c r="I52" t="s">
        <v>529</v>
      </c>
      <c r="J52">
        <v>109</v>
      </c>
      <c r="K52" s="1">
        <v>45341</v>
      </c>
      <c r="L52" s="2">
        <v>0.3689351851851852</v>
      </c>
      <c r="M52" t="s">
        <v>251</v>
      </c>
      <c r="N52" t="s">
        <v>252</v>
      </c>
      <c r="O52">
        <v>1</v>
      </c>
      <c r="P52">
        <v>1</v>
      </c>
      <c r="Q52">
        <v>1</v>
      </c>
      <c r="R52">
        <v>68452</v>
      </c>
    </row>
    <row r="53" spans="1:18" x14ac:dyDescent="0.25">
      <c r="A53">
        <v>127644</v>
      </c>
      <c r="B53" t="s">
        <v>269</v>
      </c>
      <c r="C53" t="s">
        <v>13</v>
      </c>
      <c r="D53" t="s">
        <v>16</v>
      </c>
      <c r="E53">
        <v>1498</v>
      </c>
      <c r="F53" t="s">
        <v>632</v>
      </c>
      <c r="G53" t="s">
        <v>152</v>
      </c>
      <c r="H53" t="s">
        <v>633</v>
      </c>
      <c r="I53" t="s">
        <v>634</v>
      </c>
      <c r="J53">
        <v>45.9</v>
      </c>
      <c r="K53" s="1">
        <v>45341</v>
      </c>
      <c r="L53" s="2">
        <v>0.37539351851851854</v>
      </c>
      <c r="M53" t="s">
        <v>610</v>
      </c>
      <c r="N53" t="s">
        <v>252</v>
      </c>
      <c r="O53">
        <v>0</v>
      </c>
      <c r="P53">
        <v>1</v>
      </c>
      <c r="Q53">
        <v>1</v>
      </c>
      <c r="R53">
        <v>68758</v>
      </c>
    </row>
    <row r="54" spans="1:18" x14ac:dyDescent="0.25">
      <c r="A54">
        <v>187180</v>
      </c>
      <c r="B54" t="s">
        <v>269</v>
      </c>
      <c r="C54" t="s">
        <v>13</v>
      </c>
      <c r="D54" t="s">
        <v>16</v>
      </c>
      <c r="E54">
        <v>647</v>
      </c>
      <c r="F54" t="s">
        <v>510</v>
      </c>
      <c r="G54" t="s">
        <v>107</v>
      </c>
      <c r="H54" t="s">
        <v>503</v>
      </c>
      <c r="I54" t="s">
        <v>511</v>
      </c>
      <c r="J54">
        <v>109</v>
      </c>
      <c r="K54" s="1">
        <v>45341</v>
      </c>
      <c r="L54" s="2">
        <v>0.36881944444444442</v>
      </c>
      <c r="M54" t="s">
        <v>251</v>
      </c>
      <c r="N54" t="s">
        <v>252</v>
      </c>
      <c r="O54">
        <v>0</v>
      </c>
      <c r="P54">
        <v>1</v>
      </c>
      <c r="Q54">
        <v>1</v>
      </c>
      <c r="R54">
        <v>70523</v>
      </c>
    </row>
    <row r="55" spans="1:18" x14ac:dyDescent="0.25">
      <c r="A55">
        <v>135036</v>
      </c>
      <c r="B55" t="s">
        <v>256</v>
      </c>
      <c r="C55" t="s">
        <v>16</v>
      </c>
      <c r="D55" t="s">
        <v>13</v>
      </c>
      <c r="E55">
        <v>1435</v>
      </c>
      <c r="F55" t="s">
        <v>710</v>
      </c>
      <c r="G55" t="s">
        <v>178</v>
      </c>
      <c r="H55" t="s">
        <v>711</v>
      </c>
      <c r="I55" t="s">
        <v>712</v>
      </c>
      <c r="J55">
        <v>49.9</v>
      </c>
      <c r="K55" s="1">
        <v>45341</v>
      </c>
      <c r="L55" s="2">
        <v>0.38233796296296296</v>
      </c>
      <c r="M55" t="s">
        <v>699</v>
      </c>
      <c r="N55" t="s">
        <v>700</v>
      </c>
      <c r="O55">
        <v>1</v>
      </c>
      <c r="P55">
        <v>0</v>
      </c>
      <c r="Q55">
        <v>0</v>
      </c>
      <c r="R55">
        <v>71606</v>
      </c>
    </row>
    <row r="56" spans="1:18" x14ac:dyDescent="0.25">
      <c r="A56">
        <v>153997</v>
      </c>
      <c r="B56" t="s">
        <v>256</v>
      </c>
      <c r="C56" t="s">
        <v>13</v>
      </c>
      <c r="D56" t="s">
        <v>16</v>
      </c>
      <c r="E56">
        <v>1608</v>
      </c>
      <c r="F56" t="s">
        <v>797</v>
      </c>
      <c r="G56" t="s">
        <v>207</v>
      </c>
      <c r="H56" t="s">
        <v>798</v>
      </c>
      <c r="I56" t="s">
        <v>799</v>
      </c>
      <c r="J56">
        <v>45.9</v>
      </c>
      <c r="K56" s="1">
        <v>45341</v>
      </c>
      <c r="L56" s="2">
        <v>0.38254629629629627</v>
      </c>
      <c r="M56" t="s">
        <v>699</v>
      </c>
      <c r="N56" t="s">
        <v>700</v>
      </c>
      <c r="O56">
        <v>0</v>
      </c>
      <c r="P56">
        <v>1</v>
      </c>
      <c r="Q56">
        <v>0</v>
      </c>
      <c r="R56">
        <v>73807</v>
      </c>
    </row>
    <row r="57" spans="1:18" x14ac:dyDescent="0.25">
      <c r="A57">
        <v>129898</v>
      </c>
      <c r="B57" t="s">
        <v>256</v>
      </c>
      <c r="C57" t="s">
        <v>13</v>
      </c>
      <c r="D57" t="s">
        <v>13</v>
      </c>
      <c r="E57">
        <v>1866</v>
      </c>
      <c r="F57" t="s">
        <v>856</v>
      </c>
      <c r="G57" t="s">
        <v>227</v>
      </c>
      <c r="H57" t="s">
        <v>857</v>
      </c>
      <c r="I57" t="s">
        <v>858</v>
      </c>
      <c r="J57">
        <v>39.9</v>
      </c>
      <c r="K57" s="1">
        <v>45341</v>
      </c>
      <c r="L57" s="2">
        <v>0.37253472222222223</v>
      </c>
      <c r="M57" t="s">
        <v>849</v>
      </c>
      <c r="N57" t="s">
        <v>252</v>
      </c>
      <c r="O57">
        <v>0</v>
      </c>
      <c r="P57">
        <v>0</v>
      </c>
      <c r="Q57">
        <v>1</v>
      </c>
      <c r="R57">
        <v>74453</v>
      </c>
    </row>
    <row r="58" spans="1:18" x14ac:dyDescent="0.25">
      <c r="A58">
        <v>182779</v>
      </c>
      <c r="B58" t="s">
        <v>256</v>
      </c>
      <c r="C58" t="s">
        <v>16</v>
      </c>
      <c r="D58" t="s">
        <v>16</v>
      </c>
      <c r="E58">
        <v>2097</v>
      </c>
      <c r="F58" t="s">
        <v>740</v>
      </c>
      <c r="G58" t="s">
        <v>188</v>
      </c>
      <c r="H58" t="s">
        <v>741</v>
      </c>
      <c r="I58" t="s">
        <v>742</v>
      </c>
      <c r="J58">
        <v>35.9</v>
      </c>
      <c r="K58" s="1">
        <v>45341</v>
      </c>
      <c r="L58" s="2">
        <v>0.38240740740740742</v>
      </c>
      <c r="M58" t="s">
        <v>699</v>
      </c>
      <c r="N58" t="s">
        <v>700</v>
      </c>
      <c r="O58">
        <v>1</v>
      </c>
      <c r="P58">
        <v>1</v>
      </c>
      <c r="Q58">
        <v>0</v>
      </c>
      <c r="R58">
        <v>75282</v>
      </c>
    </row>
    <row r="59" spans="1:18" x14ac:dyDescent="0.25">
      <c r="A59">
        <v>141330</v>
      </c>
      <c r="B59" t="s">
        <v>12</v>
      </c>
      <c r="C59" t="s">
        <v>13</v>
      </c>
      <c r="D59" t="s">
        <v>16</v>
      </c>
      <c r="E59">
        <v>1915</v>
      </c>
      <c r="F59" t="s">
        <v>880</v>
      </c>
      <c r="G59" t="s">
        <v>235</v>
      </c>
      <c r="H59" t="s">
        <v>881</v>
      </c>
      <c r="I59" t="s">
        <v>882</v>
      </c>
      <c r="J59">
        <v>39.9</v>
      </c>
      <c r="K59" s="1">
        <v>45341</v>
      </c>
      <c r="L59" s="2">
        <v>0.37259259259259259</v>
      </c>
      <c r="M59" t="s">
        <v>849</v>
      </c>
      <c r="N59" t="s">
        <v>252</v>
      </c>
      <c r="O59">
        <v>0</v>
      </c>
      <c r="P59">
        <v>1</v>
      </c>
      <c r="Q59">
        <v>1</v>
      </c>
      <c r="R59">
        <v>76408</v>
      </c>
    </row>
    <row r="60" spans="1:18" x14ac:dyDescent="0.25">
      <c r="A60">
        <v>139789</v>
      </c>
      <c r="B60" t="s">
        <v>12</v>
      </c>
      <c r="C60" t="s">
        <v>13</v>
      </c>
      <c r="D60" t="s">
        <v>16</v>
      </c>
      <c r="E60">
        <v>1094</v>
      </c>
      <c r="F60" t="s">
        <v>716</v>
      </c>
      <c r="G60" t="s">
        <v>180</v>
      </c>
      <c r="H60" t="s">
        <v>717</v>
      </c>
      <c r="I60" t="s">
        <v>718</v>
      </c>
      <c r="J60">
        <v>69.900000000000006</v>
      </c>
      <c r="K60" s="1">
        <v>45341</v>
      </c>
      <c r="L60" s="2">
        <v>0.38234953703703706</v>
      </c>
      <c r="M60" t="s">
        <v>699</v>
      </c>
      <c r="N60" t="s">
        <v>700</v>
      </c>
      <c r="O60">
        <v>0</v>
      </c>
      <c r="P60">
        <v>1</v>
      </c>
      <c r="Q60">
        <v>0</v>
      </c>
      <c r="R60">
        <v>76471</v>
      </c>
    </row>
    <row r="61" spans="1:18" x14ac:dyDescent="0.25">
      <c r="A61">
        <v>165786</v>
      </c>
      <c r="B61" t="s">
        <v>256</v>
      </c>
      <c r="C61" t="s">
        <v>13</v>
      </c>
      <c r="D61" t="s">
        <v>16</v>
      </c>
      <c r="E61">
        <v>1278</v>
      </c>
      <c r="F61" t="s">
        <v>840</v>
      </c>
      <c r="G61" t="s">
        <v>222</v>
      </c>
      <c r="H61" t="s">
        <v>841</v>
      </c>
      <c r="I61" t="s">
        <v>842</v>
      </c>
      <c r="J61">
        <v>59.9</v>
      </c>
      <c r="K61" s="1">
        <v>45341</v>
      </c>
      <c r="L61" s="2">
        <v>0.37136574074074075</v>
      </c>
      <c r="M61" t="s">
        <v>699</v>
      </c>
      <c r="N61" t="s">
        <v>252</v>
      </c>
      <c r="O61">
        <v>0</v>
      </c>
      <c r="P61">
        <v>1</v>
      </c>
      <c r="Q61">
        <v>1</v>
      </c>
      <c r="R61">
        <v>76552</v>
      </c>
    </row>
    <row r="62" spans="1:18" x14ac:dyDescent="0.25">
      <c r="A62">
        <v>118719</v>
      </c>
      <c r="B62" t="s">
        <v>256</v>
      </c>
      <c r="C62" t="s">
        <v>13</v>
      </c>
      <c r="D62" t="s">
        <v>16</v>
      </c>
      <c r="E62">
        <v>1669</v>
      </c>
      <c r="F62" t="s">
        <v>788</v>
      </c>
      <c r="G62" t="s">
        <v>204</v>
      </c>
      <c r="H62" t="s">
        <v>789</v>
      </c>
      <c r="I62" t="s">
        <v>790</v>
      </c>
      <c r="J62">
        <v>45.9</v>
      </c>
      <c r="K62" s="1">
        <v>45341</v>
      </c>
      <c r="L62" s="2">
        <v>0.38252314814814814</v>
      </c>
      <c r="M62" t="s">
        <v>699</v>
      </c>
      <c r="N62" t="s">
        <v>700</v>
      </c>
      <c r="O62">
        <v>0</v>
      </c>
      <c r="P62">
        <v>1</v>
      </c>
      <c r="Q62">
        <v>0</v>
      </c>
      <c r="R62">
        <v>76607</v>
      </c>
    </row>
    <row r="63" spans="1:18" x14ac:dyDescent="0.25">
      <c r="A63">
        <v>171860</v>
      </c>
      <c r="B63" t="s">
        <v>12</v>
      </c>
      <c r="C63" t="s">
        <v>16</v>
      </c>
      <c r="D63" t="s">
        <v>13</v>
      </c>
      <c r="E63">
        <v>707</v>
      </c>
      <c r="F63" t="s">
        <v>761</v>
      </c>
      <c r="G63" t="s">
        <v>134</v>
      </c>
      <c r="H63" t="s">
        <v>315</v>
      </c>
      <c r="I63" t="s">
        <v>474</v>
      </c>
      <c r="J63">
        <v>109</v>
      </c>
      <c r="K63" s="1">
        <v>45341</v>
      </c>
      <c r="L63" s="2">
        <v>0.38238425925925928</v>
      </c>
      <c r="M63" t="s">
        <v>849</v>
      </c>
      <c r="N63" t="s">
        <v>252</v>
      </c>
      <c r="O63">
        <v>1</v>
      </c>
      <c r="P63">
        <v>0</v>
      </c>
      <c r="Q63">
        <v>1</v>
      </c>
      <c r="R63">
        <v>77063</v>
      </c>
    </row>
    <row r="64" spans="1:18" x14ac:dyDescent="0.25">
      <c r="A64">
        <v>183634</v>
      </c>
      <c r="B64" t="s">
        <v>269</v>
      </c>
      <c r="C64" t="s">
        <v>16</v>
      </c>
      <c r="D64" t="s">
        <v>16</v>
      </c>
      <c r="E64">
        <v>2778</v>
      </c>
      <c r="F64" t="s">
        <v>776</v>
      </c>
      <c r="G64" t="s">
        <v>200</v>
      </c>
      <c r="H64" t="s">
        <v>777</v>
      </c>
      <c r="I64" t="s">
        <v>778</v>
      </c>
      <c r="J64">
        <v>27.9</v>
      </c>
      <c r="K64" s="1">
        <v>45341</v>
      </c>
      <c r="L64" s="2">
        <v>0.38250000000000001</v>
      </c>
      <c r="M64" t="s">
        <v>699</v>
      </c>
      <c r="N64" t="s">
        <v>700</v>
      </c>
      <c r="O64">
        <v>1</v>
      </c>
      <c r="P64">
        <v>1</v>
      </c>
      <c r="Q64">
        <v>0</v>
      </c>
      <c r="R64">
        <v>77506</v>
      </c>
    </row>
    <row r="65" spans="1:18" x14ac:dyDescent="0.25">
      <c r="A65">
        <v>186638</v>
      </c>
      <c r="B65" t="s">
        <v>256</v>
      </c>
      <c r="C65" t="s">
        <v>16</v>
      </c>
      <c r="D65" t="s">
        <v>13</v>
      </c>
      <c r="E65">
        <v>1296</v>
      </c>
      <c r="F65" t="s">
        <v>620</v>
      </c>
      <c r="G65" t="s">
        <v>148</v>
      </c>
      <c r="H65" t="s">
        <v>621</v>
      </c>
      <c r="I65" t="s">
        <v>622</v>
      </c>
      <c r="J65">
        <v>59.9</v>
      </c>
      <c r="K65" s="1">
        <v>45341</v>
      </c>
      <c r="L65" s="2">
        <v>0.37535879629629632</v>
      </c>
      <c r="M65" t="s">
        <v>610</v>
      </c>
      <c r="N65" t="s">
        <v>252</v>
      </c>
      <c r="O65">
        <v>1</v>
      </c>
      <c r="P65">
        <v>0</v>
      </c>
      <c r="Q65">
        <v>1</v>
      </c>
      <c r="R65">
        <v>77630</v>
      </c>
    </row>
    <row r="66" spans="1:18" x14ac:dyDescent="0.25">
      <c r="A66">
        <v>149315</v>
      </c>
      <c r="B66" t="s">
        <v>256</v>
      </c>
      <c r="C66" t="s">
        <v>16</v>
      </c>
      <c r="D66" t="s">
        <v>13</v>
      </c>
      <c r="E66">
        <v>718</v>
      </c>
      <c r="F66" t="s">
        <v>433</v>
      </c>
      <c r="G66" t="s">
        <v>79</v>
      </c>
      <c r="H66" t="s">
        <v>434</v>
      </c>
      <c r="I66" t="s">
        <v>435</v>
      </c>
      <c r="J66">
        <v>109</v>
      </c>
      <c r="K66" s="1">
        <v>45341</v>
      </c>
      <c r="L66" s="2">
        <v>0.36858796296296298</v>
      </c>
      <c r="M66" t="s">
        <v>251</v>
      </c>
      <c r="N66" t="s">
        <v>252</v>
      </c>
      <c r="O66">
        <v>1</v>
      </c>
      <c r="P66">
        <v>0</v>
      </c>
      <c r="Q66">
        <v>1</v>
      </c>
      <c r="R66">
        <v>78262</v>
      </c>
    </row>
    <row r="67" spans="1:18" x14ac:dyDescent="0.25">
      <c r="A67">
        <v>182099</v>
      </c>
      <c r="B67" t="s">
        <v>12</v>
      </c>
      <c r="C67" t="s">
        <v>16</v>
      </c>
      <c r="D67" t="s">
        <v>13</v>
      </c>
      <c r="E67">
        <v>1978</v>
      </c>
      <c r="F67" t="s">
        <v>868</v>
      </c>
      <c r="G67" t="s">
        <v>231</v>
      </c>
      <c r="H67" t="s">
        <v>869</v>
      </c>
      <c r="I67" t="s">
        <v>870</v>
      </c>
      <c r="J67">
        <v>39.9</v>
      </c>
      <c r="K67" s="1">
        <v>45341</v>
      </c>
      <c r="L67" s="2">
        <v>0.37256944444444445</v>
      </c>
      <c r="M67" t="s">
        <v>849</v>
      </c>
      <c r="N67" t="s">
        <v>252</v>
      </c>
      <c r="O67">
        <v>1</v>
      </c>
      <c r="P67">
        <v>0</v>
      </c>
      <c r="Q67">
        <v>1</v>
      </c>
      <c r="R67">
        <v>78922</v>
      </c>
    </row>
    <row r="68" spans="1:18" x14ac:dyDescent="0.25">
      <c r="A68">
        <v>166345</v>
      </c>
      <c r="B68" t="s">
        <v>12</v>
      </c>
      <c r="C68" t="s">
        <v>13</v>
      </c>
      <c r="D68" t="s">
        <v>16</v>
      </c>
      <c r="E68">
        <v>1135</v>
      </c>
      <c r="F68" t="s">
        <v>499</v>
      </c>
      <c r="G68" t="s">
        <v>103</v>
      </c>
      <c r="H68" t="s">
        <v>500</v>
      </c>
      <c r="I68" t="s">
        <v>501</v>
      </c>
      <c r="J68">
        <v>69.900000000000006</v>
      </c>
      <c r="K68" s="1">
        <v>45341</v>
      </c>
      <c r="L68" s="2">
        <v>0.36879629629629629</v>
      </c>
      <c r="M68" t="s">
        <v>251</v>
      </c>
      <c r="N68" t="s">
        <v>252</v>
      </c>
      <c r="O68">
        <v>0</v>
      </c>
      <c r="P68">
        <v>1</v>
      </c>
      <c r="Q68">
        <v>1</v>
      </c>
      <c r="R68">
        <v>79336</v>
      </c>
    </row>
    <row r="69" spans="1:18" x14ac:dyDescent="0.25">
      <c r="A69">
        <v>122809</v>
      </c>
      <c r="B69" t="s">
        <v>256</v>
      </c>
      <c r="C69" t="s">
        <v>13</v>
      </c>
      <c r="D69" t="s">
        <v>16</v>
      </c>
      <c r="E69">
        <v>1592</v>
      </c>
      <c r="F69" t="s">
        <v>734</v>
      </c>
      <c r="G69" t="s">
        <v>186</v>
      </c>
      <c r="H69" t="s">
        <v>735</v>
      </c>
      <c r="I69" t="s">
        <v>736</v>
      </c>
      <c r="J69">
        <v>49.9</v>
      </c>
      <c r="K69" s="1">
        <v>45341</v>
      </c>
      <c r="L69" s="2">
        <v>0.38239583333333332</v>
      </c>
      <c r="M69" t="s">
        <v>699</v>
      </c>
      <c r="N69" t="s">
        <v>700</v>
      </c>
      <c r="O69">
        <v>0</v>
      </c>
      <c r="P69">
        <v>1</v>
      </c>
      <c r="Q69">
        <v>0</v>
      </c>
      <c r="R69">
        <v>79441</v>
      </c>
    </row>
    <row r="70" spans="1:18" x14ac:dyDescent="0.25">
      <c r="A70">
        <v>151438</v>
      </c>
      <c r="B70" t="s">
        <v>12</v>
      </c>
      <c r="C70" t="s">
        <v>13</v>
      </c>
      <c r="D70" t="s">
        <v>16</v>
      </c>
      <c r="E70">
        <v>1137</v>
      </c>
      <c r="F70" t="s">
        <v>567</v>
      </c>
      <c r="G70" t="s">
        <v>129</v>
      </c>
      <c r="H70" t="s">
        <v>552</v>
      </c>
      <c r="I70" t="s">
        <v>568</v>
      </c>
      <c r="J70">
        <v>69.900000000000006</v>
      </c>
      <c r="K70" s="1">
        <v>45341</v>
      </c>
      <c r="L70" s="2">
        <v>0.36916666666666664</v>
      </c>
      <c r="M70" t="s">
        <v>251</v>
      </c>
      <c r="N70" t="s">
        <v>252</v>
      </c>
      <c r="O70">
        <v>0</v>
      </c>
      <c r="P70">
        <v>1</v>
      </c>
      <c r="Q70">
        <v>1</v>
      </c>
      <c r="R70">
        <v>79476</v>
      </c>
    </row>
    <row r="71" spans="1:18" x14ac:dyDescent="0.25">
      <c r="A71">
        <v>140727</v>
      </c>
      <c r="B71" t="s">
        <v>256</v>
      </c>
      <c r="C71" t="s">
        <v>16</v>
      </c>
      <c r="D71" t="s">
        <v>16</v>
      </c>
      <c r="E71">
        <v>1002</v>
      </c>
      <c r="F71" t="s">
        <v>364</v>
      </c>
      <c r="G71" t="s">
        <v>54</v>
      </c>
      <c r="H71" t="s">
        <v>267</v>
      </c>
      <c r="I71" t="s">
        <v>365</v>
      </c>
      <c r="J71">
        <v>79.900000000000006</v>
      </c>
      <c r="K71" s="1">
        <v>45341</v>
      </c>
      <c r="L71" s="2">
        <v>0.3684027777777778</v>
      </c>
      <c r="M71" t="s">
        <v>251</v>
      </c>
      <c r="N71" t="s">
        <v>252</v>
      </c>
      <c r="O71">
        <v>1</v>
      </c>
      <c r="P71">
        <v>1</v>
      </c>
      <c r="Q71">
        <v>1</v>
      </c>
      <c r="R71">
        <v>80060</v>
      </c>
    </row>
    <row r="72" spans="1:18" x14ac:dyDescent="0.25">
      <c r="A72">
        <v>117065</v>
      </c>
      <c r="B72" t="s">
        <v>12</v>
      </c>
      <c r="C72" t="s">
        <v>16</v>
      </c>
      <c r="D72" t="s">
        <v>16</v>
      </c>
      <c r="E72">
        <v>758</v>
      </c>
      <c r="F72" t="s">
        <v>430</v>
      </c>
      <c r="G72" t="s">
        <v>78</v>
      </c>
      <c r="H72" t="s">
        <v>431</v>
      </c>
      <c r="I72" t="s">
        <v>432</v>
      </c>
      <c r="J72">
        <v>109</v>
      </c>
      <c r="K72" s="1">
        <v>45341</v>
      </c>
      <c r="L72" s="2">
        <v>0.36857638888888888</v>
      </c>
      <c r="M72" t="s">
        <v>251</v>
      </c>
      <c r="N72" t="s">
        <v>252</v>
      </c>
      <c r="O72">
        <v>1</v>
      </c>
      <c r="P72">
        <v>1</v>
      </c>
      <c r="Q72">
        <v>1</v>
      </c>
      <c r="R72">
        <v>82622</v>
      </c>
    </row>
    <row r="73" spans="1:18" x14ac:dyDescent="0.25">
      <c r="A73">
        <v>147449</v>
      </c>
      <c r="B73" t="s">
        <v>256</v>
      </c>
      <c r="C73" t="s">
        <v>13</v>
      </c>
      <c r="D73" t="s">
        <v>13</v>
      </c>
      <c r="E73">
        <v>1191</v>
      </c>
      <c r="F73" t="s">
        <v>688</v>
      </c>
      <c r="G73" t="s">
        <v>171</v>
      </c>
      <c r="H73" t="s">
        <v>689</v>
      </c>
      <c r="I73" t="s">
        <v>690</v>
      </c>
      <c r="J73">
        <v>69.900000000000006</v>
      </c>
      <c r="K73" s="1">
        <v>45341</v>
      </c>
      <c r="L73" s="2">
        <v>0.37556712962962963</v>
      </c>
      <c r="M73" t="s">
        <v>610</v>
      </c>
      <c r="N73" t="s">
        <v>252</v>
      </c>
      <c r="O73">
        <v>0</v>
      </c>
      <c r="P73">
        <v>0</v>
      </c>
      <c r="Q73">
        <v>1</v>
      </c>
      <c r="R73">
        <v>83251</v>
      </c>
    </row>
    <row r="74" spans="1:18" x14ac:dyDescent="0.25">
      <c r="A74">
        <v>130321</v>
      </c>
      <c r="B74" t="s">
        <v>256</v>
      </c>
      <c r="C74" t="s">
        <v>16</v>
      </c>
      <c r="D74" t="s">
        <v>13</v>
      </c>
      <c r="E74">
        <v>2093</v>
      </c>
      <c r="F74" t="s">
        <v>894</v>
      </c>
      <c r="G74" t="s">
        <v>240</v>
      </c>
      <c r="H74" t="s">
        <v>895</v>
      </c>
      <c r="I74" t="s">
        <v>896</v>
      </c>
      <c r="J74">
        <v>39.9</v>
      </c>
      <c r="K74" s="1">
        <v>45341</v>
      </c>
      <c r="L74" s="2">
        <v>0.37262731481481481</v>
      </c>
      <c r="M74" t="s">
        <v>849</v>
      </c>
      <c r="N74" t="s">
        <v>252</v>
      </c>
      <c r="O74">
        <v>1</v>
      </c>
      <c r="P74">
        <v>0</v>
      </c>
      <c r="Q74">
        <v>1</v>
      </c>
      <c r="R74">
        <v>83511</v>
      </c>
    </row>
    <row r="75" spans="1:18" x14ac:dyDescent="0.25">
      <c r="A75">
        <v>118578</v>
      </c>
      <c r="B75" t="s">
        <v>256</v>
      </c>
      <c r="C75" t="s">
        <v>13</v>
      </c>
      <c r="D75" t="s">
        <v>16</v>
      </c>
      <c r="E75">
        <v>1678</v>
      </c>
      <c r="F75" t="s">
        <v>626</v>
      </c>
      <c r="G75" t="s">
        <v>150</v>
      </c>
      <c r="H75" t="s">
        <v>627</v>
      </c>
      <c r="I75" t="s">
        <v>628</v>
      </c>
      <c r="J75">
        <v>49.9</v>
      </c>
      <c r="K75" s="1">
        <v>45341</v>
      </c>
      <c r="L75" s="2">
        <v>0.37537037037037035</v>
      </c>
      <c r="M75" t="s">
        <v>610</v>
      </c>
      <c r="N75" t="s">
        <v>252</v>
      </c>
      <c r="O75">
        <v>0</v>
      </c>
      <c r="P75">
        <v>1</v>
      </c>
      <c r="Q75">
        <v>1</v>
      </c>
      <c r="R75">
        <v>83732</v>
      </c>
    </row>
    <row r="76" spans="1:18" x14ac:dyDescent="0.25">
      <c r="A76">
        <v>183574</v>
      </c>
      <c r="B76" t="s">
        <v>12</v>
      </c>
      <c r="C76" t="s">
        <v>16</v>
      </c>
      <c r="D76" t="s">
        <v>16</v>
      </c>
      <c r="E76">
        <v>1752</v>
      </c>
      <c r="F76" t="s">
        <v>782</v>
      </c>
      <c r="G76" t="s">
        <v>202</v>
      </c>
      <c r="H76" t="s">
        <v>783</v>
      </c>
      <c r="I76" t="s">
        <v>784</v>
      </c>
      <c r="J76">
        <v>47.9</v>
      </c>
      <c r="K76" s="1">
        <v>45341</v>
      </c>
      <c r="L76" s="2">
        <v>0.3825115740740741</v>
      </c>
      <c r="M76" t="s">
        <v>699</v>
      </c>
      <c r="N76" t="s">
        <v>700</v>
      </c>
      <c r="O76">
        <v>1</v>
      </c>
      <c r="P76">
        <v>1</v>
      </c>
      <c r="Q76">
        <v>0</v>
      </c>
      <c r="R76">
        <v>83921</v>
      </c>
    </row>
    <row r="77" spans="1:18" x14ac:dyDescent="0.25">
      <c r="A77">
        <v>149510</v>
      </c>
      <c r="B77" t="s">
        <v>12</v>
      </c>
      <c r="C77" t="s">
        <v>13</v>
      </c>
      <c r="D77" t="s">
        <v>16</v>
      </c>
      <c r="E77">
        <v>1412</v>
      </c>
      <c r="F77" t="s">
        <v>436</v>
      </c>
      <c r="G77" t="s">
        <v>80</v>
      </c>
      <c r="H77" t="s">
        <v>437</v>
      </c>
      <c r="I77" t="s">
        <v>438</v>
      </c>
      <c r="J77">
        <v>59.9</v>
      </c>
      <c r="K77" s="1">
        <v>45341</v>
      </c>
      <c r="L77" s="2">
        <v>0.36859953703703702</v>
      </c>
      <c r="M77" t="s">
        <v>251</v>
      </c>
      <c r="N77" t="s">
        <v>252</v>
      </c>
      <c r="O77">
        <v>0</v>
      </c>
      <c r="P77">
        <v>1</v>
      </c>
      <c r="Q77">
        <v>1</v>
      </c>
      <c r="R77">
        <v>84579</v>
      </c>
    </row>
    <row r="78" spans="1:18" x14ac:dyDescent="0.25">
      <c r="A78">
        <v>173550</v>
      </c>
      <c r="B78" t="s">
        <v>256</v>
      </c>
      <c r="C78" t="s">
        <v>13</v>
      </c>
      <c r="D78" t="s">
        <v>16</v>
      </c>
      <c r="E78">
        <v>1431</v>
      </c>
      <c r="F78" t="s">
        <v>579</v>
      </c>
      <c r="G78" t="s">
        <v>134</v>
      </c>
      <c r="H78" t="s">
        <v>485</v>
      </c>
      <c r="I78" t="s">
        <v>580</v>
      </c>
      <c r="J78">
        <v>59.9</v>
      </c>
      <c r="K78" s="1">
        <v>45341</v>
      </c>
      <c r="L78" s="2">
        <v>0.36918981481481483</v>
      </c>
      <c r="M78" t="s">
        <v>251</v>
      </c>
      <c r="N78" t="s">
        <v>252</v>
      </c>
      <c r="O78">
        <v>0</v>
      </c>
      <c r="P78">
        <v>1</v>
      </c>
      <c r="Q78">
        <v>1</v>
      </c>
      <c r="R78">
        <v>85717</v>
      </c>
    </row>
    <row r="79" spans="1:18" x14ac:dyDescent="0.25">
      <c r="A79">
        <v>191230</v>
      </c>
      <c r="B79" t="s">
        <v>256</v>
      </c>
      <c r="C79" t="s">
        <v>13</v>
      </c>
      <c r="D79" t="s">
        <v>13</v>
      </c>
      <c r="E79">
        <v>966</v>
      </c>
      <c r="F79" t="s">
        <v>329</v>
      </c>
      <c r="G79" t="s">
        <v>41</v>
      </c>
      <c r="H79" t="s">
        <v>330</v>
      </c>
      <c r="I79" t="s">
        <v>331</v>
      </c>
      <c r="J79">
        <v>89.9</v>
      </c>
      <c r="K79" s="1">
        <v>45341</v>
      </c>
      <c r="L79" s="2">
        <v>0.36828703703703702</v>
      </c>
      <c r="M79" t="s">
        <v>251</v>
      </c>
      <c r="N79" t="s">
        <v>252</v>
      </c>
      <c r="O79">
        <v>0</v>
      </c>
      <c r="P79">
        <v>0</v>
      </c>
      <c r="Q79">
        <v>1</v>
      </c>
      <c r="R79">
        <v>86843</v>
      </c>
    </row>
    <row r="80" spans="1:18" x14ac:dyDescent="0.25">
      <c r="A80">
        <v>150953</v>
      </c>
      <c r="B80" t="s">
        <v>269</v>
      </c>
      <c r="C80" t="s">
        <v>16</v>
      </c>
      <c r="D80" t="s">
        <v>16</v>
      </c>
      <c r="E80">
        <v>2434</v>
      </c>
      <c r="F80" t="s">
        <v>767</v>
      </c>
      <c r="G80" t="s">
        <v>197</v>
      </c>
      <c r="H80" t="s">
        <v>768</v>
      </c>
      <c r="I80" t="s">
        <v>769</v>
      </c>
      <c r="J80">
        <v>35.9</v>
      </c>
      <c r="K80" s="1">
        <v>45341</v>
      </c>
      <c r="L80" s="2">
        <v>0.38247685185185187</v>
      </c>
      <c r="M80" t="s">
        <v>699</v>
      </c>
      <c r="N80" t="s">
        <v>700</v>
      </c>
      <c r="O80">
        <v>1</v>
      </c>
      <c r="P80">
        <v>1</v>
      </c>
      <c r="Q80">
        <v>0</v>
      </c>
      <c r="R80">
        <v>87381</v>
      </c>
    </row>
    <row r="81" spans="1:18" x14ac:dyDescent="0.25">
      <c r="A81">
        <v>134104</v>
      </c>
      <c r="B81" t="s">
        <v>256</v>
      </c>
      <c r="C81" t="s">
        <v>13</v>
      </c>
      <c r="D81" t="s">
        <v>16</v>
      </c>
      <c r="E81">
        <v>1466</v>
      </c>
      <c r="F81" t="s">
        <v>574</v>
      </c>
      <c r="G81" t="s">
        <v>132</v>
      </c>
      <c r="H81" t="s">
        <v>575</v>
      </c>
      <c r="I81" t="s">
        <v>576</v>
      </c>
      <c r="J81">
        <v>59.9</v>
      </c>
      <c r="K81" s="1">
        <v>45341</v>
      </c>
      <c r="L81" s="2">
        <v>0.36917824074074074</v>
      </c>
      <c r="M81" t="s">
        <v>251</v>
      </c>
      <c r="N81" t="s">
        <v>252</v>
      </c>
      <c r="O81">
        <v>0</v>
      </c>
      <c r="P81">
        <v>1</v>
      </c>
      <c r="Q81">
        <v>1</v>
      </c>
      <c r="R81">
        <v>87813</v>
      </c>
    </row>
    <row r="82" spans="1:18" x14ac:dyDescent="0.25">
      <c r="A82">
        <v>137990</v>
      </c>
      <c r="B82" t="s">
        <v>12</v>
      </c>
      <c r="C82" t="s">
        <v>13</v>
      </c>
      <c r="D82" t="s">
        <v>13</v>
      </c>
      <c r="E82">
        <v>2929</v>
      </c>
      <c r="F82" t="s">
        <v>439</v>
      </c>
      <c r="G82" t="s">
        <v>81</v>
      </c>
      <c r="H82" t="s">
        <v>440</v>
      </c>
      <c r="I82" t="s">
        <v>441</v>
      </c>
      <c r="J82">
        <v>29.99</v>
      </c>
      <c r="K82" s="1">
        <v>45341</v>
      </c>
      <c r="L82" s="2">
        <v>0.36862268518518521</v>
      </c>
      <c r="M82" t="s">
        <v>251</v>
      </c>
      <c r="N82" t="s">
        <v>252</v>
      </c>
      <c r="O82">
        <v>0</v>
      </c>
      <c r="P82">
        <v>0</v>
      </c>
      <c r="Q82">
        <v>1</v>
      </c>
      <c r="R82">
        <v>87841</v>
      </c>
    </row>
    <row r="83" spans="1:18" x14ac:dyDescent="0.25">
      <c r="A83">
        <v>181011</v>
      </c>
      <c r="B83" t="s">
        <v>12</v>
      </c>
      <c r="C83" t="s">
        <v>16</v>
      </c>
      <c r="D83" t="s">
        <v>16</v>
      </c>
      <c r="E83">
        <v>994</v>
      </c>
      <c r="F83" t="s">
        <v>728</v>
      </c>
      <c r="G83" t="s">
        <v>123</v>
      </c>
      <c r="H83" t="s">
        <v>283</v>
      </c>
      <c r="I83" t="s">
        <v>636</v>
      </c>
      <c r="J83">
        <v>89.9</v>
      </c>
      <c r="K83" s="1">
        <v>45341</v>
      </c>
      <c r="L83" s="2">
        <v>0.38230324074074074</v>
      </c>
      <c r="M83" t="s">
        <v>610</v>
      </c>
      <c r="N83" t="s">
        <v>252</v>
      </c>
      <c r="O83">
        <v>1</v>
      </c>
      <c r="P83">
        <v>1</v>
      </c>
      <c r="Q83">
        <v>1</v>
      </c>
      <c r="R83">
        <v>89361</v>
      </c>
    </row>
    <row r="84" spans="1:18" x14ac:dyDescent="0.25">
      <c r="A84">
        <v>167599</v>
      </c>
      <c r="B84" t="s">
        <v>12</v>
      </c>
      <c r="C84" t="s">
        <v>13</v>
      </c>
      <c r="D84" t="s">
        <v>13</v>
      </c>
      <c r="E84">
        <v>1500</v>
      </c>
      <c r="F84" t="s">
        <v>653</v>
      </c>
      <c r="G84" t="s">
        <v>159</v>
      </c>
      <c r="H84" t="s">
        <v>654</v>
      </c>
      <c r="I84" t="s">
        <v>655</v>
      </c>
      <c r="J84">
        <v>59.9</v>
      </c>
      <c r="K84" s="1">
        <v>45341</v>
      </c>
      <c r="L84" s="2">
        <v>0.37546296296296294</v>
      </c>
      <c r="M84" t="s">
        <v>610</v>
      </c>
      <c r="N84" t="s">
        <v>252</v>
      </c>
      <c r="O84">
        <v>0</v>
      </c>
      <c r="P84">
        <v>0</v>
      </c>
      <c r="Q84">
        <v>1</v>
      </c>
      <c r="R84">
        <v>89850</v>
      </c>
    </row>
    <row r="85" spans="1:18" x14ac:dyDescent="0.25">
      <c r="A85">
        <v>147491</v>
      </c>
      <c r="B85" t="s">
        <v>256</v>
      </c>
      <c r="C85" t="s">
        <v>13</v>
      </c>
      <c r="D85" t="s">
        <v>13</v>
      </c>
      <c r="E85">
        <v>1563</v>
      </c>
      <c r="F85" t="s">
        <v>812</v>
      </c>
      <c r="G85" t="s">
        <v>212</v>
      </c>
      <c r="H85" t="s">
        <v>813</v>
      </c>
      <c r="I85" t="s">
        <v>814</v>
      </c>
      <c r="J85">
        <v>59.9</v>
      </c>
      <c r="K85" s="1">
        <v>45341</v>
      </c>
      <c r="L85" s="2">
        <v>0.37127314814814816</v>
      </c>
      <c r="M85" t="s">
        <v>811</v>
      </c>
      <c r="N85" t="s">
        <v>252</v>
      </c>
      <c r="O85">
        <v>0</v>
      </c>
      <c r="P85">
        <v>0</v>
      </c>
      <c r="Q85">
        <v>1</v>
      </c>
      <c r="R85">
        <v>93624</v>
      </c>
    </row>
    <row r="86" spans="1:18" x14ac:dyDescent="0.25">
      <c r="A86">
        <v>135857</v>
      </c>
      <c r="B86" t="s">
        <v>12</v>
      </c>
      <c r="C86" t="s">
        <v>13</v>
      </c>
      <c r="D86" t="s">
        <v>16</v>
      </c>
      <c r="E86">
        <v>2045</v>
      </c>
      <c r="F86" t="s">
        <v>888</v>
      </c>
      <c r="G86" t="s">
        <v>238</v>
      </c>
      <c r="H86" t="s">
        <v>889</v>
      </c>
      <c r="I86" t="s">
        <v>890</v>
      </c>
      <c r="J86">
        <v>45.9</v>
      </c>
      <c r="K86" s="1">
        <v>45341</v>
      </c>
      <c r="L86" s="2">
        <v>0.37261574074074072</v>
      </c>
      <c r="M86" t="s">
        <v>849</v>
      </c>
      <c r="N86" t="s">
        <v>252</v>
      </c>
      <c r="O86">
        <v>0</v>
      </c>
      <c r="P86">
        <v>1</v>
      </c>
      <c r="Q86">
        <v>1</v>
      </c>
      <c r="R86">
        <v>93866</v>
      </c>
    </row>
    <row r="87" spans="1:18" x14ac:dyDescent="0.25">
      <c r="A87">
        <v>152985</v>
      </c>
      <c r="B87" t="s">
        <v>12</v>
      </c>
      <c r="C87" t="s">
        <v>16</v>
      </c>
      <c r="D87" t="s">
        <v>16</v>
      </c>
      <c r="E87">
        <v>1049</v>
      </c>
      <c r="F87" t="s">
        <v>806</v>
      </c>
      <c r="G87" t="s">
        <v>210</v>
      </c>
      <c r="H87" t="s">
        <v>552</v>
      </c>
      <c r="I87" t="s">
        <v>807</v>
      </c>
      <c r="J87">
        <v>89.9</v>
      </c>
      <c r="K87" s="1">
        <v>45341</v>
      </c>
      <c r="L87" s="2">
        <v>0.36908564814814815</v>
      </c>
      <c r="M87" t="s">
        <v>251</v>
      </c>
      <c r="N87" t="s">
        <v>252</v>
      </c>
      <c r="O87">
        <v>1</v>
      </c>
      <c r="P87">
        <v>1</v>
      </c>
      <c r="Q87">
        <v>1</v>
      </c>
      <c r="R87">
        <v>94305</v>
      </c>
    </row>
    <row r="88" spans="1:18" x14ac:dyDescent="0.25">
      <c r="A88">
        <v>125398</v>
      </c>
      <c r="B88" t="s">
        <v>12</v>
      </c>
      <c r="C88" t="s">
        <v>16</v>
      </c>
      <c r="D88" t="s">
        <v>16</v>
      </c>
      <c r="E88">
        <v>1350</v>
      </c>
      <c r="F88" t="s">
        <v>614</v>
      </c>
      <c r="G88" t="s">
        <v>146</v>
      </c>
      <c r="H88" t="s">
        <v>615</v>
      </c>
      <c r="I88" t="s">
        <v>616</v>
      </c>
      <c r="J88">
        <v>69.900000000000006</v>
      </c>
      <c r="K88" s="1">
        <v>45341</v>
      </c>
      <c r="L88" s="2">
        <v>0.37534722222222222</v>
      </c>
      <c r="M88" t="s">
        <v>610</v>
      </c>
      <c r="N88" t="s">
        <v>252</v>
      </c>
      <c r="O88">
        <v>1</v>
      </c>
      <c r="P88">
        <v>1</v>
      </c>
      <c r="Q88">
        <v>1</v>
      </c>
      <c r="R88">
        <v>94365</v>
      </c>
    </row>
    <row r="89" spans="1:18" x14ac:dyDescent="0.25">
      <c r="A89">
        <v>118985</v>
      </c>
      <c r="B89" t="s">
        <v>12</v>
      </c>
      <c r="C89" t="s">
        <v>13</v>
      </c>
      <c r="D89" t="s">
        <v>16</v>
      </c>
      <c r="E89">
        <v>694</v>
      </c>
      <c r="F89" t="s">
        <v>776</v>
      </c>
      <c r="G89" t="s">
        <v>139</v>
      </c>
      <c r="H89" t="s">
        <v>330</v>
      </c>
      <c r="I89" t="s">
        <v>489</v>
      </c>
      <c r="J89">
        <v>139</v>
      </c>
      <c r="K89" s="1">
        <v>45341</v>
      </c>
      <c r="L89" s="2">
        <v>0.38243055555555555</v>
      </c>
      <c r="M89" t="s">
        <v>849</v>
      </c>
      <c r="N89" t="s">
        <v>252</v>
      </c>
      <c r="O89">
        <v>0</v>
      </c>
      <c r="P89">
        <v>1</v>
      </c>
      <c r="Q89">
        <v>1</v>
      </c>
      <c r="R89">
        <v>96466</v>
      </c>
    </row>
    <row r="90" spans="1:18" x14ac:dyDescent="0.25">
      <c r="A90">
        <v>155848</v>
      </c>
      <c r="B90" t="s">
        <v>256</v>
      </c>
      <c r="C90" t="s">
        <v>16</v>
      </c>
      <c r="D90" t="s">
        <v>13</v>
      </c>
      <c r="E90">
        <v>1942</v>
      </c>
      <c r="F90" t="s">
        <v>722</v>
      </c>
      <c r="G90" t="s">
        <v>182</v>
      </c>
      <c r="H90" t="s">
        <v>723</v>
      </c>
      <c r="I90" t="s">
        <v>724</v>
      </c>
      <c r="J90">
        <v>49.9</v>
      </c>
      <c r="K90" s="1">
        <v>45341</v>
      </c>
      <c r="L90" s="2">
        <v>0.3823611111111111</v>
      </c>
      <c r="M90" t="s">
        <v>699</v>
      </c>
      <c r="N90" t="s">
        <v>700</v>
      </c>
      <c r="O90">
        <v>1</v>
      </c>
      <c r="P90">
        <v>0</v>
      </c>
      <c r="Q90">
        <v>0</v>
      </c>
      <c r="R90">
        <v>96906</v>
      </c>
    </row>
    <row r="91" spans="1:18" x14ac:dyDescent="0.25">
      <c r="A91">
        <v>141547</v>
      </c>
      <c r="B91" t="s">
        <v>256</v>
      </c>
      <c r="C91" t="s">
        <v>13</v>
      </c>
      <c r="D91" t="s">
        <v>13</v>
      </c>
      <c r="E91">
        <v>1426</v>
      </c>
      <c r="F91" t="s">
        <v>818</v>
      </c>
      <c r="G91" t="s">
        <v>214</v>
      </c>
      <c r="H91" t="s">
        <v>816</v>
      </c>
      <c r="I91" t="s">
        <v>817</v>
      </c>
      <c r="J91">
        <v>69.900000000000006</v>
      </c>
      <c r="K91" s="1">
        <v>45341</v>
      </c>
      <c r="L91" s="2">
        <v>0.3712847222222222</v>
      </c>
      <c r="M91" t="s">
        <v>811</v>
      </c>
      <c r="N91" t="s">
        <v>252</v>
      </c>
      <c r="O91">
        <v>0</v>
      </c>
      <c r="P91">
        <v>0</v>
      </c>
      <c r="Q91">
        <v>1</v>
      </c>
      <c r="R91">
        <v>99677</v>
      </c>
    </row>
    <row r="92" spans="1:18" x14ac:dyDescent="0.25">
      <c r="A92">
        <v>134788</v>
      </c>
      <c r="B92" t="s">
        <v>269</v>
      </c>
      <c r="C92" t="s">
        <v>13</v>
      </c>
      <c r="D92" t="s">
        <v>13</v>
      </c>
      <c r="E92">
        <v>2179</v>
      </c>
      <c r="F92" t="s">
        <v>791</v>
      </c>
      <c r="G92" t="s">
        <v>205</v>
      </c>
      <c r="H92" t="s">
        <v>792</v>
      </c>
      <c r="I92" t="s">
        <v>793</v>
      </c>
      <c r="J92">
        <v>45.9</v>
      </c>
      <c r="K92" s="1">
        <v>45341</v>
      </c>
      <c r="L92" s="2">
        <v>0.38253472222222223</v>
      </c>
      <c r="M92" t="s">
        <v>699</v>
      </c>
      <c r="N92" t="s">
        <v>700</v>
      </c>
      <c r="O92">
        <v>0</v>
      </c>
      <c r="P92">
        <v>0</v>
      </c>
      <c r="Q92">
        <v>0</v>
      </c>
      <c r="R92">
        <v>100016</v>
      </c>
    </row>
    <row r="93" spans="1:18" x14ac:dyDescent="0.25">
      <c r="A93">
        <v>174041</v>
      </c>
      <c r="B93" t="s">
        <v>256</v>
      </c>
      <c r="C93" t="s">
        <v>13</v>
      </c>
      <c r="D93" t="s">
        <v>13</v>
      </c>
      <c r="E93">
        <v>2016</v>
      </c>
      <c r="F93" t="s">
        <v>629</v>
      </c>
      <c r="G93" t="s">
        <v>151</v>
      </c>
      <c r="H93" t="s">
        <v>630</v>
      </c>
      <c r="I93" t="s">
        <v>631</v>
      </c>
      <c r="J93">
        <v>49.9</v>
      </c>
      <c r="K93" s="1">
        <v>45341</v>
      </c>
      <c r="L93" s="2">
        <v>0.37538194444444445</v>
      </c>
      <c r="M93" t="s">
        <v>610</v>
      </c>
      <c r="N93" t="s">
        <v>252</v>
      </c>
      <c r="O93">
        <v>0</v>
      </c>
      <c r="P93">
        <v>0</v>
      </c>
      <c r="Q93">
        <v>1</v>
      </c>
      <c r="R93">
        <v>100598</v>
      </c>
    </row>
    <row r="94" spans="1:18" x14ac:dyDescent="0.25">
      <c r="A94">
        <v>167981</v>
      </c>
      <c r="B94" t="s">
        <v>256</v>
      </c>
      <c r="C94" t="s">
        <v>13</v>
      </c>
      <c r="D94" t="s">
        <v>13</v>
      </c>
      <c r="E94">
        <v>730</v>
      </c>
      <c r="F94" t="s">
        <v>505</v>
      </c>
      <c r="G94" t="s">
        <v>105</v>
      </c>
      <c r="H94" t="s">
        <v>506</v>
      </c>
      <c r="I94" t="s">
        <v>507</v>
      </c>
      <c r="J94">
        <v>139</v>
      </c>
      <c r="K94" s="1">
        <v>45341</v>
      </c>
      <c r="L94" s="2">
        <v>0.36880787037037038</v>
      </c>
      <c r="M94" t="s">
        <v>251</v>
      </c>
      <c r="N94" t="s">
        <v>252</v>
      </c>
      <c r="O94">
        <v>0</v>
      </c>
      <c r="P94">
        <v>0</v>
      </c>
      <c r="Q94">
        <v>1</v>
      </c>
      <c r="R94">
        <v>101470</v>
      </c>
    </row>
    <row r="95" spans="1:18" x14ac:dyDescent="0.25">
      <c r="A95">
        <v>196752</v>
      </c>
      <c r="B95" t="s">
        <v>256</v>
      </c>
      <c r="C95" t="s">
        <v>13</v>
      </c>
      <c r="D95" t="s">
        <v>13</v>
      </c>
      <c r="E95">
        <v>2227</v>
      </c>
      <c r="F95" t="s">
        <v>897</v>
      </c>
      <c r="G95" t="s">
        <v>241</v>
      </c>
      <c r="H95" t="s">
        <v>875</v>
      </c>
      <c r="I95" t="s">
        <v>876</v>
      </c>
      <c r="J95">
        <v>45.9</v>
      </c>
      <c r="K95" s="1">
        <v>45341</v>
      </c>
      <c r="L95" s="2">
        <v>0.37262731481481481</v>
      </c>
      <c r="M95" t="s">
        <v>849</v>
      </c>
      <c r="N95" t="s">
        <v>252</v>
      </c>
      <c r="O95">
        <v>0</v>
      </c>
      <c r="P95">
        <v>0</v>
      </c>
      <c r="Q95">
        <v>1</v>
      </c>
      <c r="R95">
        <v>102219</v>
      </c>
    </row>
    <row r="96" spans="1:18" x14ac:dyDescent="0.25">
      <c r="A96">
        <v>181502</v>
      </c>
      <c r="B96" t="s">
        <v>269</v>
      </c>
      <c r="C96" t="s">
        <v>16</v>
      </c>
      <c r="D96" t="s">
        <v>13</v>
      </c>
      <c r="E96">
        <v>2591</v>
      </c>
      <c r="F96" t="s">
        <v>737</v>
      </c>
      <c r="G96" t="s">
        <v>187</v>
      </c>
      <c r="H96" t="s">
        <v>738</v>
      </c>
      <c r="I96" t="s">
        <v>739</v>
      </c>
      <c r="J96">
        <v>39.9</v>
      </c>
      <c r="K96" s="1">
        <v>45341</v>
      </c>
      <c r="L96" s="2">
        <v>0.38239583333333332</v>
      </c>
      <c r="M96" t="s">
        <v>699</v>
      </c>
      <c r="N96" t="s">
        <v>700</v>
      </c>
      <c r="O96">
        <v>1</v>
      </c>
      <c r="P96">
        <v>0</v>
      </c>
      <c r="Q96">
        <v>0</v>
      </c>
      <c r="R96">
        <v>103381</v>
      </c>
    </row>
    <row r="97" spans="1:18" x14ac:dyDescent="0.25">
      <c r="A97">
        <v>127296</v>
      </c>
      <c r="B97" t="s">
        <v>12</v>
      </c>
      <c r="C97" t="s">
        <v>13</v>
      </c>
      <c r="D97" t="s">
        <v>13</v>
      </c>
      <c r="E97">
        <v>1165</v>
      </c>
      <c r="F97" t="s">
        <v>369</v>
      </c>
      <c r="G97" t="s">
        <v>56</v>
      </c>
      <c r="H97" t="s">
        <v>370</v>
      </c>
      <c r="I97" t="s">
        <v>371</v>
      </c>
      <c r="J97">
        <v>89.9</v>
      </c>
      <c r="K97" s="1">
        <v>45341</v>
      </c>
      <c r="L97" s="2">
        <v>0.36842592592592593</v>
      </c>
      <c r="M97" t="s">
        <v>251</v>
      </c>
      <c r="N97" t="s">
        <v>252</v>
      </c>
      <c r="O97">
        <v>0</v>
      </c>
      <c r="P97">
        <v>0</v>
      </c>
      <c r="Q97">
        <v>1</v>
      </c>
      <c r="R97">
        <v>104734</v>
      </c>
    </row>
    <row r="98" spans="1:18" x14ac:dyDescent="0.25">
      <c r="A98">
        <v>146804</v>
      </c>
      <c r="B98" t="s">
        <v>12</v>
      </c>
      <c r="C98" t="s">
        <v>16</v>
      </c>
      <c r="D98" t="s">
        <v>13</v>
      </c>
      <c r="E98">
        <v>1504</v>
      </c>
      <c r="F98" t="s">
        <v>694</v>
      </c>
      <c r="G98" t="s">
        <v>173</v>
      </c>
      <c r="H98" t="s">
        <v>660</v>
      </c>
      <c r="I98" t="s">
        <v>695</v>
      </c>
      <c r="J98">
        <v>69.900000000000006</v>
      </c>
      <c r="K98" s="1">
        <v>45341</v>
      </c>
      <c r="L98" s="2">
        <v>0.37559027777777776</v>
      </c>
      <c r="M98" t="s">
        <v>610</v>
      </c>
      <c r="N98" t="s">
        <v>252</v>
      </c>
      <c r="O98">
        <v>1</v>
      </c>
      <c r="P98">
        <v>0</v>
      </c>
      <c r="Q98">
        <v>1</v>
      </c>
      <c r="R98">
        <v>105130</v>
      </c>
    </row>
    <row r="99" spans="1:18" x14ac:dyDescent="0.25">
      <c r="A99">
        <v>194410</v>
      </c>
      <c r="B99" t="s">
        <v>256</v>
      </c>
      <c r="C99" t="s">
        <v>13</v>
      </c>
      <c r="D99" t="s">
        <v>13</v>
      </c>
      <c r="E99">
        <v>669</v>
      </c>
      <c r="F99" t="s">
        <v>309</v>
      </c>
      <c r="G99" t="s">
        <v>34</v>
      </c>
      <c r="H99" t="s">
        <v>274</v>
      </c>
      <c r="I99" t="s">
        <v>310</v>
      </c>
      <c r="J99">
        <v>159</v>
      </c>
      <c r="K99" s="1">
        <v>45341</v>
      </c>
      <c r="L99" s="2">
        <v>0.3682523148148148</v>
      </c>
      <c r="M99" t="s">
        <v>251</v>
      </c>
      <c r="N99" t="s">
        <v>252</v>
      </c>
      <c r="O99">
        <v>0</v>
      </c>
      <c r="P99">
        <v>0</v>
      </c>
      <c r="Q99">
        <v>1</v>
      </c>
      <c r="R99">
        <v>106371</v>
      </c>
    </row>
    <row r="100" spans="1:18" x14ac:dyDescent="0.25">
      <c r="A100">
        <v>172816</v>
      </c>
      <c r="B100" t="s">
        <v>12</v>
      </c>
      <c r="C100" t="s">
        <v>13</v>
      </c>
      <c r="D100" t="s">
        <v>16</v>
      </c>
      <c r="E100">
        <v>1524</v>
      </c>
      <c r="F100" t="s">
        <v>831</v>
      </c>
      <c r="G100" t="s">
        <v>219</v>
      </c>
      <c r="H100" t="s">
        <v>832</v>
      </c>
      <c r="I100" t="s">
        <v>833</v>
      </c>
      <c r="J100">
        <v>69.900000000000006</v>
      </c>
      <c r="K100" s="1">
        <v>45341</v>
      </c>
      <c r="L100" s="2">
        <v>0.37134259259259261</v>
      </c>
      <c r="M100" t="s">
        <v>699</v>
      </c>
      <c r="N100" t="s">
        <v>252</v>
      </c>
      <c r="O100">
        <v>0</v>
      </c>
      <c r="P100">
        <v>1</v>
      </c>
      <c r="Q100">
        <v>1</v>
      </c>
      <c r="R100">
        <v>106528</v>
      </c>
    </row>
    <row r="101" spans="1:18" x14ac:dyDescent="0.25">
      <c r="A101">
        <v>168270</v>
      </c>
      <c r="B101" t="s">
        <v>256</v>
      </c>
      <c r="C101" t="s">
        <v>16</v>
      </c>
      <c r="D101" t="s">
        <v>16</v>
      </c>
      <c r="E101">
        <v>1525</v>
      </c>
      <c r="F101" t="s">
        <v>680</v>
      </c>
      <c r="G101" t="s">
        <v>168</v>
      </c>
      <c r="H101" t="s">
        <v>630</v>
      </c>
      <c r="I101" t="s">
        <v>681</v>
      </c>
      <c r="J101">
        <v>69.900000000000006</v>
      </c>
      <c r="K101" s="1">
        <v>45341</v>
      </c>
      <c r="L101" s="2">
        <v>0.37554398148148149</v>
      </c>
      <c r="M101" t="s">
        <v>610</v>
      </c>
      <c r="N101" t="s">
        <v>252</v>
      </c>
      <c r="O101">
        <v>1</v>
      </c>
      <c r="P101">
        <v>1</v>
      </c>
      <c r="Q101">
        <v>1</v>
      </c>
      <c r="R101">
        <v>106598</v>
      </c>
    </row>
    <row r="102" spans="1:18" x14ac:dyDescent="0.25">
      <c r="A102">
        <v>126979</v>
      </c>
      <c r="B102" t="s">
        <v>269</v>
      </c>
      <c r="C102" t="s">
        <v>13</v>
      </c>
      <c r="D102" t="s">
        <v>13</v>
      </c>
      <c r="E102">
        <v>2141</v>
      </c>
      <c r="F102" t="s">
        <v>752</v>
      </c>
      <c r="G102" t="s">
        <v>192</v>
      </c>
      <c r="H102" t="s">
        <v>753</v>
      </c>
      <c r="I102" t="s">
        <v>754</v>
      </c>
      <c r="J102">
        <v>49.9</v>
      </c>
      <c r="K102" s="1">
        <v>45341</v>
      </c>
      <c r="L102" s="2">
        <v>0.38244212962962965</v>
      </c>
      <c r="M102" t="s">
        <v>699</v>
      </c>
      <c r="N102" t="s">
        <v>700</v>
      </c>
      <c r="O102">
        <v>0</v>
      </c>
      <c r="P102">
        <v>0</v>
      </c>
      <c r="Q102">
        <v>0</v>
      </c>
      <c r="R102">
        <v>106836</v>
      </c>
    </row>
    <row r="103" spans="1:18" x14ac:dyDescent="0.25">
      <c r="A103">
        <v>175059</v>
      </c>
      <c r="B103" t="s">
        <v>12</v>
      </c>
      <c r="C103" t="s">
        <v>16</v>
      </c>
      <c r="D103" t="s">
        <v>13</v>
      </c>
      <c r="E103">
        <v>2170</v>
      </c>
      <c r="F103" t="s">
        <v>457</v>
      </c>
      <c r="G103" t="s">
        <v>87</v>
      </c>
      <c r="H103" t="s">
        <v>321</v>
      </c>
      <c r="I103" t="s">
        <v>322</v>
      </c>
      <c r="J103">
        <v>49.9</v>
      </c>
      <c r="K103" s="1">
        <v>45341</v>
      </c>
      <c r="L103" s="2">
        <v>0.36868055555555557</v>
      </c>
      <c r="M103" t="s">
        <v>251</v>
      </c>
      <c r="N103" t="s">
        <v>252</v>
      </c>
      <c r="O103">
        <v>1</v>
      </c>
      <c r="P103">
        <v>0</v>
      </c>
      <c r="Q103">
        <v>1</v>
      </c>
      <c r="R103">
        <v>108283</v>
      </c>
    </row>
    <row r="104" spans="1:18" x14ac:dyDescent="0.25">
      <c r="A104">
        <v>198283</v>
      </c>
      <c r="B104" t="s">
        <v>256</v>
      </c>
      <c r="C104" t="s">
        <v>16</v>
      </c>
      <c r="D104" t="s">
        <v>16</v>
      </c>
      <c r="E104">
        <v>1558</v>
      </c>
      <c r="F104" t="s">
        <v>815</v>
      </c>
      <c r="G104" t="s">
        <v>213</v>
      </c>
      <c r="H104" t="s">
        <v>816</v>
      </c>
      <c r="I104" t="s">
        <v>817</v>
      </c>
      <c r="J104">
        <v>69.900000000000006</v>
      </c>
      <c r="K104" s="1">
        <v>45341</v>
      </c>
      <c r="L104" s="2">
        <v>0.3712847222222222</v>
      </c>
      <c r="M104" t="s">
        <v>811</v>
      </c>
      <c r="N104" t="s">
        <v>252</v>
      </c>
      <c r="O104">
        <v>1</v>
      </c>
      <c r="P104">
        <v>1</v>
      </c>
      <c r="Q104">
        <v>1</v>
      </c>
      <c r="R104">
        <v>108904</v>
      </c>
    </row>
    <row r="105" spans="1:18" x14ac:dyDescent="0.25">
      <c r="A105">
        <v>162883</v>
      </c>
      <c r="B105" t="s">
        <v>269</v>
      </c>
      <c r="C105" t="s">
        <v>16</v>
      </c>
      <c r="D105" t="s">
        <v>13</v>
      </c>
      <c r="E105">
        <v>786</v>
      </c>
      <c r="F105" t="s">
        <v>460</v>
      </c>
      <c r="G105" t="s">
        <v>89</v>
      </c>
      <c r="H105" t="s">
        <v>461</v>
      </c>
      <c r="I105" t="s">
        <v>462</v>
      </c>
      <c r="J105">
        <v>139</v>
      </c>
      <c r="K105" s="1">
        <v>45341</v>
      </c>
      <c r="L105" s="2">
        <v>0.36869212962962961</v>
      </c>
      <c r="M105" t="s">
        <v>251</v>
      </c>
      <c r="N105" t="s">
        <v>252</v>
      </c>
      <c r="O105">
        <v>1</v>
      </c>
      <c r="P105">
        <v>0</v>
      </c>
      <c r="Q105">
        <v>1</v>
      </c>
      <c r="R105">
        <v>109254</v>
      </c>
    </row>
    <row r="106" spans="1:18" x14ac:dyDescent="0.25">
      <c r="A106">
        <v>126146</v>
      </c>
      <c r="B106" t="s">
        <v>12</v>
      </c>
      <c r="C106" t="s">
        <v>13</v>
      </c>
      <c r="D106" t="s">
        <v>13</v>
      </c>
      <c r="E106">
        <v>2759</v>
      </c>
      <c r="F106" t="s">
        <v>850</v>
      </c>
      <c r="G106" t="s">
        <v>225</v>
      </c>
      <c r="H106" t="s">
        <v>851</v>
      </c>
      <c r="I106" t="s">
        <v>852</v>
      </c>
      <c r="J106">
        <v>39.9</v>
      </c>
      <c r="K106" s="1">
        <v>45341</v>
      </c>
      <c r="L106" s="2">
        <v>0.37252314814814813</v>
      </c>
      <c r="M106" t="s">
        <v>849</v>
      </c>
      <c r="N106" t="s">
        <v>252</v>
      </c>
      <c r="O106">
        <v>0</v>
      </c>
      <c r="P106">
        <v>0</v>
      </c>
      <c r="Q106">
        <v>1</v>
      </c>
      <c r="R106">
        <v>110084</v>
      </c>
    </row>
    <row r="107" spans="1:18" x14ac:dyDescent="0.25">
      <c r="A107">
        <v>145289</v>
      </c>
      <c r="B107" t="s">
        <v>256</v>
      </c>
      <c r="C107" t="s">
        <v>13</v>
      </c>
      <c r="D107" t="s">
        <v>13</v>
      </c>
      <c r="E107">
        <v>1012</v>
      </c>
      <c r="F107" t="s">
        <v>454</v>
      </c>
      <c r="G107" t="s">
        <v>86</v>
      </c>
      <c r="H107" t="s">
        <v>455</v>
      </c>
      <c r="I107" t="s">
        <v>456</v>
      </c>
      <c r="J107">
        <v>109</v>
      </c>
      <c r="K107" s="1">
        <v>45341</v>
      </c>
      <c r="L107" s="2">
        <v>0.36865740740740743</v>
      </c>
      <c r="M107" t="s">
        <v>251</v>
      </c>
      <c r="N107" t="s">
        <v>252</v>
      </c>
      <c r="O107">
        <v>0</v>
      </c>
      <c r="P107">
        <v>0</v>
      </c>
      <c r="Q107">
        <v>1</v>
      </c>
      <c r="R107">
        <v>110308</v>
      </c>
    </row>
    <row r="108" spans="1:18" x14ac:dyDescent="0.25">
      <c r="A108">
        <v>188771</v>
      </c>
      <c r="B108" t="s">
        <v>12</v>
      </c>
      <c r="C108" t="s">
        <v>13</v>
      </c>
      <c r="D108" t="s">
        <v>13</v>
      </c>
      <c r="E108">
        <v>654</v>
      </c>
      <c r="F108" t="s">
        <v>253</v>
      </c>
      <c r="G108" t="s">
        <v>15</v>
      </c>
      <c r="H108" t="s">
        <v>254</v>
      </c>
      <c r="I108" t="s">
        <v>255</v>
      </c>
      <c r="J108">
        <v>169</v>
      </c>
      <c r="K108" s="1">
        <v>45341</v>
      </c>
      <c r="L108" s="2">
        <v>0.36812499999999998</v>
      </c>
      <c r="M108" t="s">
        <v>251</v>
      </c>
      <c r="N108" t="s">
        <v>252</v>
      </c>
      <c r="O108">
        <v>0</v>
      </c>
      <c r="P108">
        <v>0</v>
      </c>
      <c r="Q108">
        <v>1</v>
      </c>
      <c r="R108">
        <v>110526</v>
      </c>
    </row>
    <row r="109" spans="1:18" x14ac:dyDescent="0.25">
      <c r="A109">
        <v>167640</v>
      </c>
      <c r="B109" t="s">
        <v>256</v>
      </c>
      <c r="C109" t="s">
        <v>16</v>
      </c>
      <c r="D109" t="s">
        <v>16</v>
      </c>
      <c r="E109">
        <v>1017</v>
      </c>
      <c r="F109" t="s">
        <v>512</v>
      </c>
      <c r="G109" t="s">
        <v>108</v>
      </c>
      <c r="H109" t="s">
        <v>503</v>
      </c>
      <c r="I109" t="s">
        <v>513</v>
      </c>
      <c r="J109">
        <v>109</v>
      </c>
      <c r="K109" s="1">
        <v>45341</v>
      </c>
      <c r="L109" s="2">
        <v>0.36883101851851852</v>
      </c>
      <c r="M109" t="s">
        <v>251</v>
      </c>
      <c r="N109" t="s">
        <v>252</v>
      </c>
      <c r="O109">
        <v>1</v>
      </c>
      <c r="P109">
        <v>1</v>
      </c>
      <c r="Q109">
        <v>1</v>
      </c>
      <c r="R109">
        <v>110853</v>
      </c>
    </row>
    <row r="110" spans="1:18" x14ac:dyDescent="0.25">
      <c r="A110">
        <v>137121</v>
      </c>
      <c r="B110" t="s">
        <v>12</v>
      </c>
      <c r="C110" t="s">
        <v>13</v>
      </c>
      <c r="D110" t="s">
        <v>16</v>
      </c>
      <c r="E110">
        <v>656</v>
      </c>
      <c r="F110" t="s">
        <v>279</v>
      </c>
      <c r="G110" t="s">
        <v>24</v>
      </c>
      <c r="H110" t="s">
        <v>280</v>
      </c>
      <c r="I110" t="s">
        <v>281</v>
      </c>
      <c r="J110">
        <v>169</v>
      </c>
      <c r="K110" s="1">
        <v>45341</v>
      </c>
      <c r="L110" s="2">
        <v>0.3681828703703704</v>
      </c>
      <c r="M110" t="s">
        <v>251</v>
      </c>
      <c r="N110" t="s">
        <v>252</v>
      </c>
      <c r="O110">
        <v>0</v>
      </c>
      <c r="P110">
        <v>1</v>
      </c>
      <c r="Q110">
        <v>1</v>
      </c>
      <c r="R110">
        <v>110864</v>
      </c>
    </row>
    <row r="111" spans="1:18" x14ac:dyDescent="0.25">
      <c r="A111">
        <v>197524</v>
      </c>
      <c r="B111" t="s">
        <v>12</v>
      </c>
      <c r="C111" t="s">
        <v>16</v>
      </c>
      <c r="D111" t="s">
        <v>16</v>
      </c>
      <c r="E111">
        <v>2231</v>
      </c>
      <c r="F111" t="s">
        <v>605</v>
      </c>
      <c r="G111" t="s">
        <v>143</v>
      </c>
      <c r="H111" t="s">
        <v>552</v>
      </c>
      <c r="I111" t="s">
        <v>606</v>
      </c>
      <c r="J111">
        <v>49.9</v>
      </c>
      <c r="K111" s="1">
        <v>45341</v>
      </c>
      <c r="L111" s="2">
        <v>0.36924768518518519</v>
      </c>
      <c r="M111" t="s">
        <v>251</v>
      </c>
      <c r="N111" t="s">
        <v>252</v>
      </c>
      <c r="O111">
        <v>1</v>
      </c>
      <c r="P111">
        <v>1</v>
      </c>
      <c r="Q111">
        <v>1</v>
      </c>
      <c r="R111">
        <v>111327</v>
      </c>
    </row>
    <row r="112" spans="1:18" x14ac:dyDescent="0.25">
      <c r="A112">
        <v>189349</v>
      </c>
      <c r="B112" t="s">
        <v>256</v>
      </c>
      <c r="C112" t="s">
        <v>16</v>
      </c>
      <c r="D112" t="s">
        <v>13</v>
      </c>
      <c r="E112">
        <v>1245</v>
      </c>
      <c r="F112" t="s">
        <v>395</v>
      </c>
      <c r="G112" t="s">
        <v>66</v>
      </c>
      <c r="H112" t="s">
        <v>396</v>
      </c>
      <c r="I112" t="s">
        <v>397</v>
      </c>
      <c r="J112">
        <v>89.9</v>
      </c>
      <c r="K112" s="1">
        <v>45341</v>
      </c>
      <c r="L112" s="2">
        <v>0.36849537037037039</v>
      </c>
      <c r="M112" t="s">
        <v>251</v>
      </c>
      <c r="N112" t="s">
        <v>252</v>
      </c>
      <c r="O112">
        <v>1</v>
      </c>
      <c r="P112">
        <v>0</v>
      </c>
      <c r="Q112">
        <v>1</v>
      </c>
      <c r="R112">
        <v>111926</v>
      </c>
    </row>
    <row r="113" spans="1:18" x14ac:dyDescent="0.25">
      <c r="A113">
        <v>147947</v>
      </c>
      <c r="B113" t="s">
        <v>12</v>
      </c>
      <c r="C113" t="s">
        <v>16</v>
      </c>
      <c r="D113" t="s">
        <v>16</v>
      </c>
      <c r="E113">
        <v>1249</v>
      </c>
      <c r="F113" t="s">
        <v>478</v>
      </c>
      <c r="G113" t="s">
        <v>96</v>
      </c>
      <c r="H113" t="s">
        <v>479</v>
      </c>
      <c r="I113" t="s">
        <v>480</v>
      </c>
      <c r="J113">
        <v>89.9</v>
      </c>
      <c r="K113" s="1">
        <v>45341</v>
      </c>
      <c r="L113" s="2">
        <v>0.36873842592592593</v>
      </c>
      <c r="M113" t="s">
        <v>251</v>
      </c>
      <c r="N113" t="s">
        <v>252</v>
      </c>
      <c r="O113">
        <v>1</v>
      </c>
      <c r="P113">
        <v>1</v>
      </c>
      <c r="Q113">
        <v>1</v>
      </c>
      <c r="R113">
        <v>112285</v>
      </c>
    </row>
    <row r="114" spans="1:18" x14ac:dyDescent="0.25">
      <c r="A114">
        <v>135521</v>
      </c>
      <c r="B114" t="s">
        <v>256</v>
      </c>
      <c r="C114" t="s">
        <v>13</v>
      </c>
      <c r="D114" t="s">
        <v>16</v>
      </c>
      <c r="E114">
        <v>2835</v>
      </c>
      <c r="F114" t="s">
        <v>755</v>
      </c>
      <c r="G114" t="s">
        <v>193</v>
      </c>
      <c r="H114" t="s">
        <v>756</v>
      </c>
      <c r="I114" t="s">
        <v>757</v>
      </c>
      <c r="J114">
        <v>39.9</v>
      </c>
      <c r="K114" s="1">
        <v>45341</v>
      </c>
      <c r="L114" s="2">
        <v>0.38244212962962965</v>
      </c>
      <c r="M114" t="s">
        <v>699</v>
      </c>
      <c r="N114" t="s">
        <v>700</v>
      </c>
      <c r="O114">
        <v>0</v>
      </c>
      <c r="P114">
        <v>1</v>
      </c>
      <c r="Q114">
        <v>0</v>
      </c>
      <c r="R114">
        <v>113116</v>
      </c>
    </row>
    <row r="115" spans="1:18" x14ac:dyDescent="0.25">
      <c r="A115">
        <v>199631</v>
      </c>
      <c r="B115" t="s">
        <v>269</v>
      </c>
      <c r="C115" t="s">
        <v>16</v>
      </c>
      <c r="D115" t="s">
        <v>13</v>
      </c>
      <c r="E115">
        <v>1269</v>
      </c>
      <c r="F115" t="s">
        <v>542</v>
      </c>
      <c r="G115" t="s">
        <v>120</v>
      </c>
      <c r="H115" t="s">
        <v>543</v>
      </c>
      <c r="I115" t="s">
        <v>544</v>
      </c>
      <c r="J115">
        <v>89.9</v>
      </c>
      <c r="K115" s="1">
        <v>45341</v>
      </c>
      <c r="L115" s="2">
        <v>0.36910879629629628</v>
      </c>
      <c r="M115" t="s">
        <v>251</v>
      </c>
      <c r="N115" t="s">
        <v>252</v>
      </c>
      <c r="O115">
        <v>1</v>
      </c>
      <c r="P115">
        <v>0</v>
      </c>
      <c r="Q115">
        <v>1</v>
      </c>
      <c r="R115">
        <v>114083</v>
      </c>
    </row>
    <row r="116" spans="1:18" x14ac:dyDescent="0.25">
      <c r="A116">
        <v>188909</v>
      </c>
      <c r="B116" t="s">
        <v>12</v>
      </c>
      <c r="C116" t="s">
        <v>16</v>
      </c>
      <c r="D116" t="s">
        <v>16</v>
      </c>
      <c r="E116">
        <v>2863</v>
      </c>
      <c r="F116" t="s">
        <v>696</v>
      </c>
      <c r="G116" t="s">
        <v>174</v>
      </c>
      <c r="H116" t="s">
        <v>697</v>
      </c>
      <c r="I116" t="s">
        <v>698</v>
      </c>
      <c r="J116">
        <v>39.9</v>
      </c>
      <c r="K116" s="1">
        <v>45341</v>
      </c>
      <c r="L116" s="2">
        <v>0.38230324074074074</v>
      </c>
      <c r="M116" t="s">
        <v>699</v>
      </c>
      <c r="N116" t="s">
        <v>700</v>
      </c>
      <c r="O116">
        <v>1</v>
      </c>
      <c r="P116">
        <v>1</v>
      </c>
      <c r="Q116">
        <v>0</v>
      </c>
      <c r="R116">
        <v>114234</v>
      </c>
    </row>
    <row r="117" spans="1:18" x14ac:dyDescent="0.25">
      <c r="A117">
        <v>141434</v>
      </c>
      <c r="B117" t="s">
        <v>269</v>
      </c>
      <c r="C117" t="s">
        <v>13</v>
      </c>
      <c r="D117" t="s">
        <v>16</v>
      </c>
      <c r="E117">
        <v>2870</v>
      </c>
      <c r="F117" t="s">
        <v>508</v>
      </c>
      <c r="G117" t="s">
        <v>146</v>
      </c>
      <c r="H117" t="s">
        <v>271</v>
      </c>
      <c r="I117" t="s">
        <v>348</v>
      </c>
      <c r="J117">
        <v>39.9</v>
      </c>
      <c r="K117" s="1">
        <v>45341</v>
      </c>
      <c r="L117" s="2">
        <v>0.38230324074074074</v>
      </c>
      <c r="M117" t="s">
        <v>251</v>
      </c>
      <c r="N117" t="s">
        <v>252</v>
      </c>
      <c r="O117">
        <v>0</v>
      </c>
      <c r="P117">
        <v>1</v>
      </c>
      <c r="Q117">
        <v>1</v>
      </c>
      <c r="R117">
        <v>114513</v>
      </c>
    </row>
    <row r="118" spans="1:18" x14ac:dyDescent="0.25">
      <c r="A118">
        <v>198248</v>
      </c>
      <c r="B118" t="s">
        <v>269</v>
      </c>
      <c r="C118" t="s">
        <v>16</v>
      </c>
      <c r="D118" t="s">
        <v>13</v>
      </c>
      <c r="E118">
        <v>1644</v>
      </c>
      <c r="F118" t="s">
        <v>326</v>
      </c>
      <c r="G118" t="s">
        <v>40</v>
      </c>
      <c r="H118" t="s">
        <v>327</v>
      </c>
      <c r="I118" t="s">
        <v>328</v>
      </c>
      <c r="J118">
        <v>69.900000000000006</v>
      </c>
      <c r="K118" s="1">
        <v>45341</v>
      </c>
      <c r="L118" s="2">
        <v>0.36828703703703702</v>
      </c>
      <c r="M118" t="s">
        <v>251</v>
      </c>
      <c r="N118" t="s">
        <v>252</v>
      </c>
      <c r="O118">
        <v>1</v>
      </c>
      <c r="P118">
        <v>0</v>
      </c>
      <c r="Q118">
        <v>1</v>
      </c>
      <c r="R118">
        <v>114916</v>
      </c>
    </row>
    <row r="119" spans="1:18" x14ac:dyDescent="0.25">
      <c r="A119">
        <v>129152</v>
      </c>
      <c r="B119" t="s">
        <v>256</v>
      </c>
      <c r="C119" t="s">
        <v>13</v>
      </c>
      <c r="D119" t="s">
        <v>13</v>
      </c>
      <c r="E119">
        <v>2356</v>
      </c>
      <c r="F119" t="s">
        <v>320</v>
      </c>
      <c r="G119" t="s">
        <v>38</v>
      </c>
      <c r="H119" t="s">
        <v>321</v>
      </c>
      <c r="I119" t="s">
        <v>322</v>
      </c>
      <c r="J119">
        <v>49.9</v>
      </c>
      <c r="K119" s="1">
        <v>45341</v>
      </c>
      <c r="L119" s="2">
        <v>0.36827546296296299</v>
      </c>
      <c r="M119" t="s">
        <v>251</v>
      </c>
      <c r="N119" t="s">
        <v>252</v>
      </c>
      <c r="O119">
        <v>0</v>
      </c>
      <c r="P119">
        <v>0</v>
      </c>
      <c r="Q119">
        <v>1</v>
      </c>
      <c r="R119">
        <v>117564</v>
      </c>
    </row>
    <row r="120" spans="1:18" x14ac:dyDescent="0.25">
      <c r="A120">
        <v>177131</v>
      </c>
      <c r="B120" t="s">
        <v>12</v>
      </c>
      <c r="C120" t="s">
        <v>16</v>
      </c>
      <c r="D120" t="s">
        <v>16</v>
      </c>
      <c r="E120">
        <v>1733</v>
      </c>
      <c r="F120" t="s">
        <v>487</v>
      </c>
      <c r="G120" t="s">
        <v>99</v>
      </c>
      <c r="H120" t="s">
        <v>488</v>
      </c>
      <c r="I120" t="s">
        <v>489</v>
      </c>
      <c r="J120">
        <v>69.900000000000006</v>
      </c>
      <c r="K120" s="1">
        <v>45341</v>
      </c>
      <c r="L120" s="2">
        <v>0.36875000000000002</v>
      </c>
      <c r="M120" t="s">
        <v>251</v>
      </c>
      <c r="N120" t="s">
        <v>252</v>
      </c>
      <c r="O120">
        <v>1</v>
      </c>
      <c r="P120">
        <v>1</v>
      </c>
      <c r="Q120">
        <v>1</v>
      </c>
      <c r="R120">
        <v>121137</v>
      </c>
    </row>
    <row r="121" spans="1:18" x14ac:dyDescent="0.25">
      <c r="A121">
        <v>171061</v>
      </c>
      <c r="B121" t="s">
        <v>12</v>
      </c>
      <c r="C121" t="s">
        <v>13</v>
      </c>
      <c r="D121" t="s">
        <v>16</v>
      </c>
      <c r="E121">
        <v>2032</v>
      </c>
      <c r="F121" t="s">
        <v>559</v>
      </c>
      <c r="G121" t="s">
        <v>126</v>
      </c>
      <c r="H121" t="s">
        <v>552</v>
      </c>
      <c r="I121" t="s">
        <v>560</v>
      </c>
      <c r="J121">
        <v>59.9</v>
      </c>
      <c r="K121" s="1">
        <v>45341</v>
      </c>
      <c r="L121" s="2">
        <v>0.36914351851851851</v>
      </c>
      <c r="M121" t="s">
        <v>251</v>
      </c>
      <c r="N121" t="s">
        <v>252</v>
      </c>
      <c r="O121">
        <v>0</v>
      </c>
      <c r="P121">
        <v>1</v>
      </c>
      <c r="Q121">
        <v>1</v>
      </c>
      <c r="R121">
        <v>121717</v>
      </c>
    </row>
    <row r="122" spans="1:18" x14ac:dyDescent="0.25">
      <c r="A122">
        <v>177771</v>
      </c>
      <c r="B122" t="s">
        <v>256</v>
      </c>
      <c r="C122" t="s">
        <v>16</v>
      </c>
      <c r="D122" t="s">
        <v>16</v>
      </c>
      <c r="E122">
        <v>1764</v>
      </c>
      <c r="F122" t="s">
        <v>770</v>
      </c>
      <c r="G122" t="s">
        <v>137</v>
      </c>
      <c r="H122" t="s">
        <v>324</v>
      </c>
      <c r="I122" t="s">
        <v>483</v>
      </c>
      <c r="J122">
        <v>69.900000000000006</v>
      </c>
      <c r="K122" s="1">
        <v>45341</v>
      </c>
      <c r="L122" s="2">
        <v>0.38240740740740742</v>
      </c>
      <c r="M122" t="s">
        <v>849</v>
      </c>
      <c r="N122" t="s">
        <v>252</v>
      </c>
      <c r="O122">
        <v>1</v>
      </c>
      <c r="P122">
        <v>1</v>
      </c>
      <c r="Q122">
        <v>1</v>
      </c>
      <c r="R122">
        <v>123304</v>
      </c>
    </row>
    <row r="123" spans="1:18" x14ac:dyDescent="0.25">
      <c r="A123">
        <v>193227</v>
      </c>
      <c r="B123" t="s">
        <v>256</v>
      </c>
      <c r="C123" t="s">
        <v>16</v>
      </c>
      <c r="D123" t="s">
        <v>16</v>
      </c>
      <c r="E123">
        <v>1778</v>
      </c>
      <c r="F123" t="s">
        <v>837</v>
      </c>
      <c r="G123" t="s">
        <v>221</v>
      </c>
      <c r="H123" t="s">
        <v>838</v>
      </c>
      <c r="I123" t="s">
        <v>839</v>
      </c>
      <c r="J123">
        <v>69.900000000000006</v>
      </c>
      <c r="K123" s="1">
        <v>45341</v>
      </c>
      <c r="L123" s="2">
        <v>0.37135416666666665</v>
      </c>
      <c r="M123" t="s">
        <v>699</v>
      </c>
      <c r="N123" t="s">
        <v>252</v>
      </c>
      <c r="O123">
        <v>1</v>
      </c>
      <c r="P123">
        <v>1</v>
      </c>
      <c r="Q123">
        <v>1</v>
      </c>
      <c r="R123">
        <v>124282</v>
      </c>
    </row>
    <row r="124" spans="1:18" x14ac:dyDescent="0.25">
      <c r="A124">
        <v>178281</v>
      </c>
      <c r="B124" t="s">
        <v>256</v>
      </c>
      <c r="C124" t="s">
        <v>13</v>
      </c>
      <c r="D124" t="s">
        <v>16</v>
      </c>
      <c r="E124">
        <v>1145</v>
      </c>
      <c r="F124" t="s">
        <v>353</v>
      </c>
      <c r="G124" t="s">
        <v>50</v>
      </c>
      <c r="H124" t="s">
        <v>354</v>
      </c>
      <c r="I124" t="s">
        <v>355</v>
      </c>
      <c r="J124">
        <v>109</v>
      </c>
      <c r="K124" s="1">
        <v>45341</v>
      </c>
      <c r="L124" s="2">
        <v>0.36836805555555557</v>
      </c>
      <c r="M124" t="s">
        <v>251</v>
      </c>
      <c r="N124" t="s">
        <v>252</v>
      </c>
      <c r="O124">
        <v>0</v>
      </c>
      <c r="P124">
        <v>1</v>
      </c>
      <c r="Q124">
        <v>1</v>
      </c>
      <c r="R124">
        <v>124805</v>
      </c>
    </row>
    <row r="125" spans="1:18" x14ac:dyDescent="0.25">
      <c r="A125">
        <v>174412</v>
      </c>
      <c r="B125" t="s">
        <v>12</v>
      </c>
      <c r="C125" t="s">
        <v>13</v>
      </c>
      <c r="D125" t="s">
        <v>16</v>
      </c>
      <c r="E125">
        <v>1796</v>
      </c>
      <c r="F125" t="s">
        <v>359</v>
      </c>
      <c r="G125" t="s">
        <v>52</v>
      </c>
      <c r="H125" t="s">
        <v>301</v>
      </c>
      <c r="I125" t="s">
        <v>360</v>
      </c>
      <c r="J125">
        <v>69.900000000000006</v>
      </c>
      <c r="K125" s="1">
        <v>45341</v>
      </c>
      <c r="L125" s="2">
        <v>0.36837962962962961</v>
      </c>
      <c r="M125" t="s">
        <v>251</v>
      </c>
      <c r="N125" t="s">
        <v>252</v>
      </c>
      <c r="O125">
        <v>0</v>
      </c>
      <c r="P125">
        <v>1</v>
      </c>
      <c r="Q125">
        <v>1</v>
      </c>
      <c r="R125">
        <v>125540</v>
      </c>
    </row>
    <row r="126" spans="1:18" x14ac:dyDescent="0.25">
      <c r="A126">
        <v>149487</v>
      </c>
      <c r="B126" t="s">
        <v>12</v>
      </c>
      <c r="C126" t="s">
        <v>13</v>
      </c>
      <c r="D126" t="s">
        <v>16</v>
      </c>
      <c r="E126">
        <v>1258</v>
      </c>
      <c r="F126" t="s">
        <v>764</v>
      </c>
      <c r="G126" t="s">
        <v>135</v>
      </c>
      <c r="H126" t="s">
        <v>318</v>
      </c>
      <c r="I126" t="s">
        <v>477</v>
      </c>
      <c r="J126">
        <v>99.9</v>
      </c>
      <c r="K126" s="1">
        <v>45341</v>
      </c>
      <c r="L126" s="2">
        <v>0.38239583333333332</v>
      </c>
      <c r="M126" t="s">
        <v>849</v>
      </c>
      <c r="N126" t="s">
        <v>252</v>
      </c>
      <c r="O126">
        <v>0</v>
      </c>
      <c r="P126">
        <v>1</v>
      </c>
      <c r="Q126">
        <v>1</v>
      </c>
      <c r="R126">
        <v>125674</v>
      </c>
    </row>
    <row r="127" spans="1:18" x14ac:dyDescent="0.25">
      <c r="A127">
        <v>152871</v>
      </c>
      <c r="B127" t="s">
        <v>256</v>
      </c>
      <c r="C127" t="s">
        <v>13</v>
      </c>
      <c r="D127" t="s">
        <v>16</v>
      </c>
      <c r="E127">
        <v>1847</v>
      </c>
      <c r="F127" t="s">
        <v>569</v>
      </c>
      <c r="G127" t="s">
        <v>130</v>
      </c>
      <c r="H127" t="s">
        <v>570</v>
      </c>
      <c r="I127" t="s">
        <v>571</v>
      </c>
      <c r="J127">
        <v>69.900000000000006</v>
      </c>
      <c r="K127" s="1">
        <v>45341</v>
      </c>
      <c r="L127" s="2">
        <v>0.36916666666666664</v>
      </c>
      <c r="M127" t="s">
        <v>251</v>
      </c>
      <c r="N127" t="s">
        <v>252</v>
      </c>
      <c r="O127">
        <v>0</v>
      </c>
      <c r="P127">
        <v>1</v>
      </c>
      <c r="Q127">
        <v>1</v>
      </c>
      <c r="R127">
        <v>129105</v>
      </c>
    </row>
    <row r="128" spans="1:18" x14ac:dyDescent="0.25">
      <c r="A128">
        <v>115581</v>
      </c>
      <c r="B128" t="s">
        <v>12</v>
      </c>
      <c r="C128" t="s">
        <v>13</v>
      </c>
      <c r="D128" t="s">
        <v>16</v>
      </c>
      <c r="E128">
        <v>2728</v>
      </c>
      <c r="F128" t="s">
        <v>773</v>
      </c>
      <c r="G128" t="s">
        <v>199</v>
      </c>
      <c r="H128" t="s">
        <v>774</v>
      </c>
      <c r="I128" t="s">
        <v>775</v>
      </c>
      <c r="J128">
        <v>47.9</v>
      </c>
      <c r="K128" s="1">
        <v>45341</v>
      </c>
      <c r="L128" s="2">
        <v>0.38248842592592591</v>
      </c>
      <c r="M128" t="s">
        <v>699</v>
      </c>
      <c r="N128" t="s">
        <v>700</v>
      </c>
      <c r="O128">
        <v>0</v>
      </c>
      <c r="P128">
        <v>1</v>
      </c>
      <c r="Q128">
        <v>0</v>
      </c>
      <c r="R128">
        <v>130671</v>
      </c>
    </row>
    <row r="129" spans="1:18" x14ac:dyDescent="0.25">
      <c r="A129">
        <v>176666</v>
      </c>
      <c r="B129" t="s">
        <v>12</v>
      </c>
      <c r="C129" t="s">
        <v>16</v>
      </c>
      <c r="D129" t="s">
        <v>13</v>
      </c>
      <c r="E129">
        <v>2852</v>
      </c>
      <c r="F129" t="s">
        <v>641</v>
      </c>
      <c r="G129" t="s">
        <v>155</v>
      </c>
      <c r="H129" t="s">
        <v>642</v>
      </c>
      <c r="I129" t="s">
        <v>643</v>
      </c>
      <c r="J129">
        <v>45.9</v>
      </c>
      <c r="K129" s="1">
        <v>45341</v>
      </c>
      <c r="L129" s="2">
        <v>0.37542824074074072</v>
      </c>
      <c r="M129" t="s">
        <v>610</v>
      </c>
      <c r="N129" t="s">
        <v>252</v>
      </c>
      <c r="O129">
        <v>1</v>
      </c>
      <c r="P129">
        <v>0</v>
      </c>
      <c r="Q129">
        <v>1</v>
      </c>
      <c r="R129">
        <v>130907</v>
      </c>
    </row>
    <row r="130" spans="1:18" x14ac:dyDescent="0.25">
      <c r="A130">
        <v>180661</v>
      </c>
      <c r="B130" t="s">
        <v>269</v>
      </c>
      <c r="C130" t="s">
        <v>13</v>
      </c>
      <c r="D130" t="s">
        <v>16</v>
      </c>
      <c r="E130">
        <v>1041</v>
      </c>
      <c r="F130" t="s">
        <v>401</v>
      </c>
      <c r="G130" t="s">
        <v>68</v>
      </c>
      <c r="H130" t="s">
        <v>402</v>
      </c>
      <c r="I130" t="s">
        <v>403</v>
      </c>
      <c r="J130">
        <v>129</v>
      </c>
      <c r="K130" s="1">
        <v>45341</v>
      </c>
      <c r="L130" s="2">
        <v>0.36850694444444443</v>
      </c>
      <c r="M130" t="s">
        <v>251</v>
      </c>
      <c r="N130" t="s">
        <v>252</v>
      </c>
      <c r="O130">
        <v>0</v>
      </c>
      <c r="P130">
        <v>1</v>
      </c>
      <c r="Q130">
        <v>1</v>
      </c>
      <c r="R130">
        <v>134289</v>
      </c>
    </row>
    <row r="131" spans="1:18" x14ac:dyDescent="0.25">
      <c r="A131">
        <v>115153</v>
      </c>
      <c r="B131" t="s">
        <v>12</v>
      </c>
      <c r="C131" t="s">
        <v>13</v>
      </c>
      <c r="D131" t="s">
        <v>13</v>
      </c>
      <c r="E131">
        <v>1736</v>
      </c>
      <c r="F131" t="s">
        <v>728</v>
      </c>
      <c r="G131" t="s">
        <v>184</v>
      </c>
      <c r="H131" t="s">
        <v>729</v>
      </c>
      <c r="I131" t="s">
        <v>730</v>
      </c>
      <c r="J131">
        <v>79.900000000000006</v>
      </c>
      <c r="K131" s="1">
        <v>45341</v>
      </c>
      <c r="L131" s="2">
        <v>0.38238425925925928</v>
      </c>
      <c r="M131" t="s">
        <v>699</v>
      </c>
      <c r="N131" t="s">
        <v>700</v>
      </c>
      <c r="O131">
        <v>0</v>
      </c>
      <c r="P131">
        <v>0</v>
      </c>
      <c r="Q131">
        <v>0</v>
      </c>
      <c r="R131">
        <v>138706</v>
      </c>
    </row>
    <row r="132" spans="1:18" x14ac:dyDescent="0.25">
      <c r="A132">
        <v>171520</v>
      </c>
      <c r="B132" t="s">
        <v>256</v>
      </c>
      <c r="C132" t="s">
        <v>16</v>
      </c>
      <c r="D132" t="s">
        <v>16</v>
      </c>
      <c r="E132">
        <v>2901</v>
      </c>
      <c r="F132" t="s">
        <v>761</v>
      </c>
      <c r="G132" t="s">
        <v>195</v>
      </c>
      <c r="H132" t="s">
        <v>762</v>
      </c>
      <c r="I132" t="s">
        <v>763</v>
      </c>
      <c r="J132">
        <v>47.9</v>
      </c>
      <c r="K132" s="1">
        <v>45341</v>
      </c>
      <c r="L132" s="2">
        <v>0.38246527777777778</v>
      </c>
      <c r="M132" t="s">
        <v>699</v>
      </c>
      <c r="N132" t="s">
        <v>700</v>
      </c>
      <c r="O132">
        <v>1</v>
      </c>
      <c r="P132">
        <v>1</v>
      </c>
      <c r="Q132">
        <v>0</v>
      </c>
      <c r="R132">
        <v>138958</v>
      </c>
    </row>
    <row r="133" spans="1:18" x14ac:dyDescent="0.25">
      <c r="A133">
        <v>120266</v>
      </c>
      <c r="B133" t="s">
        <v>269</v>
      </c>
      <c r="C133" t="s">
        <v>13</v>
      </c>
      <c r="D133" t="s">
        <v>13</v>
      </c>
      <c r="E133">
        <v>2328</v>
      </c>
      <c r="F133" t="s">
        <v>577</v>
      </c>
      <c r="G133" t="s">
        <v>133</v>
      </c>
      <c r="H133" t="s">
        <v>552</v>
      </c>
      <c r="I133" t="s">
        <v>578</v>
      </c>
      <c r="J133">
        <v>59.9</v>
      </c>
      <c r="K133" s="1">
        <v>45341</v>
      </c>
      <c r="L133" s="2">
        <v>0.36918981481481483</v>
      </c>
      <c r="M133" t="s">
        <v>251</v>
      </c>
      <c r="N133" t="s">
        <v>252</v>
      </c>
      <c r="O133">
        <v>0</v>
      </c>
      <c r="P133">
        <v>0</v>
      </c>
      <c r="Q133">
        <v>1</v>
      </c>
      <c r="R133">
        <v>139447</v>
      </c>
    </row>
    <row r="134" spans="1:18" x14ac:dyDescent="0.25">
      <c r="A134">
        <v>182362</v>
      </c>
      <c r="B134" t="s">
        <v>269</v>
      </c>
      <c r="C134" t="s">
        <v>13</v>
      </c>
      <c r="D134" t="s">
        <v>13</v>
      </c>
      <c r="E134">
        <v>2019</v>
      </c>
      <c r="F134" t="s">
        <v>448</v>
      </c>
      <c r="G134" t="s">
        <v>84</v>
      </c>
      <c r="H134" t="s">
        <v>449</v>
      </c>
      <c r="I134" t="s">
        <v>450</v>
      </c>
      <c r="J134">
        <v>69.900000000000006</v>
      </c>
      <c r="K134" s="1">
        <v>45341</v>
      </c>
      <c r="L134" s="2">
        <v>0.36864583333333334</v>
      </c>
      <c r="M134" t="s">
        <v>251</v>
      </c>
      <c r="N134" t="s">
        <v>252</v>
      </c>
      <c r="O134">
        <v>0</v>
      </c>
      <c r="P134">
        <v>0</v>
      </c>
      <c r="Q134">
        <v>1</v>
      </c>
      <c r="R134">
        <v>141128</v>
      </c>
    </row>
    <row r="135" spans="1:18" x14ac:dyDescent="0.25">
      <c r="A135">
        <v>119955</v>
      </c>
      <c r="B135" t="s">
        <v>269</v>
      </c>
      <c r="C135" t="s">
        <v>13</v>
      </c>
      <c r="D135" t="s">
        <v>13</v>
      </c>
      <c r="E135">
        <v>1590</v>
      </c>
      <c r="F135" t="s">
        <v>393</v>
      </c>
      <c r="G135" t="s">
        <v>65</v>
      </c>
      <c r="H135" t="s">
        <v>354</v>
      </c>
      <c r="I135" t="s">
        <v>394</v>
      </c>
      <c r="J135">
        <v>89.9</v>
      </c>
      <c r="K135" s="1">
        <v>45341</v>
      </c>
      <c r="L135" s="2">
        <v>0.3684837962962963</v>
      </c>
      <c r="M135" t="s">
        <v>251</v>
      </c>
      <c r="N135" t="s">
        <v>252</v>
      </c>
      <c r="O135">
        <v>0</v>
      </c>
      <c r="P135">
        <v>0</v>
      </c>
      <c r="Q135">
        <v>1</v>
      </c>
      <c r="R135">
        <v>142941</v>
      </c>
    </row>
    <row r="136" spans="1:18" x14ac:dyDescent="0.25">
      <c r="A136">
        <v>194915</v>
      </c>
      <c r="B136" t="s">
        <v>12</v>
      </c>
      <c r="C136" t="s">
        <v>16</v>
      </c>
      <c r="D136" t="s">
        <v>13</v>
      </c>
      <c r="E136">
        <v>1796</v>
      </c>
      <c r="F136" t="s">
        <v>548</v>
      </c>
      <c r="G136" t="s">
        <v>122</v>
      </c>
      <c r="H136" t="s">
        <v>549</v>
      </c>
      <c r="I136" t="s">
        <v>550</v>
      </c>
      <c r="J136">
        <v>79.900000000000006</v>
      </c>
      <c r="K136" s="1">
        <v>45341</v>
      </c>
      <c r="L136" s="2">
        <v>0.36912037037037038</v>
      </c>
      <c r="M136" t="s">
        <v>251</v>
      </c>
      <c r="N136" t="s">
        <v>252</v>
      </c>
      <c r="O136">
        <v>1</v>
      </c>
      <c r="P136">
        <v>0</v>
      </c>
      <c r="Q136">
        <v>1</v>
      </c>
      <c r="R136">
        <v>143500</v>
      </c>
    </row>
    <row r="137" spans="1:18" x14ac:dyDescent="0.25">
      <c r="A137">
        <v>175584</v>
      </c>
      <c r="B137" t="s">
        <v>269</v>
      </c>
      <c r="C137" t="s">
        <v>13</v>
      </c>
      <c r="D137" t="s">
        <v>13</v>
      </c>
      <c r="E137">
        <v>2084</v>
      </c>
      <c r="F137" t="s">
        <v>808</v>
      </c>
      <c r="G137" t="s">
        <v>211</v>
      </c>
      <c r="H137" t="s">
        <v>809</v>
      </c>
      <c r="I137" t="s">
        <v>810</v>
      </c>
      <c r="J137">
        <v>69.900000000000006</v>
      </c>
      <c r="K137" s="1">
        <v>45341</v>
      </c>
      <c r="L137" s="2">
        <v>0.37126157407407406</v>
      </c>
      <c r="M137" t="s">
        <v>811</v>
      </c>
      <c r="N137" t="s">
        <v>252</v>
      </c>
      <c r="O137">
        <v>0</v>
      </c>
      <c r="P137">
        <v>0</v>
      </c>
      <c r="Q137">
        <v>1</v>
      </c>
      <c r="R137">
        <v>145672</v>
      </c>
    </row>
    <row r="138" spans="1:18" x14ac:dyDescent="0.25">
      <c r="A138">
        <v>129906</v>
      </c>
      <c r="B138" t="s">
        <v>12</v>
      </c>
      <c r="C138" t="s">
        <v>13</v>
      </c>
      <c r="D138" t="s">
        <v>13</v>
      </c>
      <c r="E138">
        <v>2089</v>
      </c>
      <c r="F138" t="s">
        <v>300</v>
      </c>
      <c r="G138" t="s">
        <v>31</v>
      </c>
      <c r="H138" t="s">
        <v>301</v>
      </c>
      <c r="I138" t="s">
        <v>302</v>
      </c>
      <c r="J138">
        <v>69.900000000000006</v>
      </c>
      <c r="K138" s="1">
        <v>45341</v>
      </c>
      <c r="L138" s="2">
        <v>0.36822916666666666</v>
      </c>
      <c r="M138" t="s">
        <v>251</v>
      </c>
      <c r="N138" t="s">
        <v>252</v>
      </c>
      <c r="O138">
        <v>0</v>
      </c>
      <c r="P138">
        <v>0</v>
      </c>
      <c r="Q138">
        <v>1</v>
      </c>
      <c r="R138">
        <v>146021</v>
      </c>
    </row>
    <row r="139" spans="1:18" x14ac:dyDescent="0.25">
      <c r="A139">
        <v>163234</v>
      </c>
      <c r="B139" t="s">
        <v>269</v>
      </c>
      <c r="C139" t="s">
        <v>13</v>
      </c>
      <c r="D139" t="s">
        <v>13</v>
      </c>
      <c r="E139">
        <v>1633</v>
      </c>
      <c r="F139" t="s">
        <v>424</v>
      </c>
      <c r="G139" t="s">
        <v>76</v>
      </c>
      <c r="H139" t="s">
        <v>425</v>
      </c>
      <c r="I139" t="s">
        <v>426</v>
      </c>
      <c r="J139">
        <v>89.9</v>
      </c>
      <c r="K139" s="1">
        <v>45341</v>
      </c>
      <c r="L139" s="2">
        <v>0.36856481481481479</v>
      </c>
      <c r="M139" t="s">
        <v>251</v>
      </c>
      <c r="N139" t="s">
        <v>252</v>
      </c>
      <c r="O139">
        <v>0</v>
      </c>
      <c r="P139">
        <v>0</v>
      </c>
      <c r="Q139">
        <v>1</v>
      </c>
      <c r="R139">
        <v>146807</v>
      </c>
    </row>
    <row r="140" spans="1:18" x14ac:dyDescent="0.25">
      <c r="A140">
        <v>199368</v>
      </c>
      <c r="B140" t="s">
        <v>269</v>
      </c>
      <c r="C140" t="s">
        <v>13</v>
      </c>
      <c r="D140" t="s">
        <v>16</v>
      </c>
      <c r="E140">
        <v>1061</v>
      </c>
      <c r="F140" t="s">
        <v>458</v>
      </c>
      <c r="G140" t="s">
        <v>88</v>
      </c>
      <c r="H140" t="s">
        <v>428</v>
      </c>
      <c r="I140" t="s">
        <v>459</v>
      </c>
      <c r="J140">
        <v>139</v>
      </c>
      <c r="K140" s="1">
        <v>45341</v>
      </c>
      <c r="L140" s="2">
        <v>0.36869212962962961</v>
      </c>
      <c r="M140" t="s">
        <v>251</v>
      </c>
      <c r="N140" t="s">
        <v>252</v>
      </c>
      <c r="O140">
        <v>0</v>
      </c>
      <c r="P140">
        <v>1</v>
      </c>
      <c r="Q140">
        <v>1</v>
      </c>
      <c r="R140">
        <v>147479</v>
      </c>
    </row>
    <row r="141" spans="1:18" x14ac:dyDescent="0.25">
      <c r="A141">
        <v>114550</v>
      </c>
      <c r="B141" t="s">
        <v>256</v>
      </c>
      <c r="C141" t="s">
        <v>13</v>
      </c>
      <c r="D141" t="s">
        <v>13</v>
      </c>
      <c r="E141">
        <v>2114</v>
      </c>
      <c r="F141" t="s">
        <v>611</v>
      </c>
      <c r="G141" t="s">
        <v>145</v>
      </c>
      <c r="H141" t="s">
        <v>612</v>
      </c>
      <c r="I141" t="s">
        <v>613</v>
      </c>
      <c r="J141">
        <v>69.900000000000006</v>
      </c>
      <c r="K141" s="1">
        <v>45341</v>
      </c>
      <c r="L141" s="2">
        <v>0.37533564814814813</v>
      </c>
      <c r="M141" t="s">
        <v>610</v>
      </c>
      <c r="N141" t="s">
        <v>252</v>
      </c>
      <c r="O141">
        <v>0</v>
      </c>
      <c r="P141">
        <v>0</v>
      </c>
      <c r="Q141">
        <v>1</v>
      </c>
      <c r="R141">
        <v>147769</v>
      </c>
    </row>
    <row r="142" spans="1:18" x14ac:dyDescent="0.25">
      <c r="A142">
        <v>131298</v>
      </c>
      <c r="B142" t="s">
        <v>256</v>
      </c>
      <c r="C142" t="s">
        <v>16</v>
      </c>
      <c r="D142" t="s">
        <v>13</v>
      </c>
      <c r="E142">
        <v>2133</v>
      </c>
      <c r="F142" t="s">
        <v>551</v>
      </c>
      <c r="G142" t="s">
        <v>123</v>
      </c>
      <c r="H142" t="s">
        <v>552</v>
      </c>
      <c r="I142" t="s">
        <v>553</v>
      </c>
      <c r="J142">
        <v>69.900000000000006</v>
      </c>
      <c r="K142" s="1">
        <v>45341</v>
      </c>
      <c r="L142" s="2">
        <v>0.36913194444444447</v>
      </c>
      <c r="M142" t="s">
        <v>251</v>
      </c>
      <c r="N142" t="s">
        <v>252</v>
      </c>
      <c r="O142">
        <v>1</v>
      </c>
      <c r="P142">
        <v>0</v>
      </c>
      <c r="Q142">
        <v>1</v>
      </c>
      <c r="R142">
        <v>149097</v>
      </c>
    </row>
    <row r="143" spans="1:18" x14ac:dyDescent="0.25">
      <c r="A143">
        <v>119049</v>
      </c>
      <c r="B143" t="s">
        <v>12</v>
      </c>
      <c r="C143" t="s">
        <v>13</v>
      </c>
      <c r="D143" t="s">
        <v>16</v>
      </c>
      <c r="E143">
        <v>1659</v>
      </c>
      <c r="F143" t="s">
        <v>561</v>
      </c>
      <c r="G143" t="s">
        <v>127</v>
      </c>
      <c r="H143" t="s">
        <v>562</v>
      </c>
      <c r="I143" t="s">
        <v>563</v>
      </c>
      <c r="J143">
        <v>89.9</v>
      </c>
      <c r="K143" s="1">
        <v>45341</v>
      </c>
      <c r="L143" s="2">
        <v>0.3691550925925926</v>
      </c>
      <c r="M143" t="s">
        <v>251</v>
      </c>
      <c r="N143" t="s">
        <v>252</v>
      </c>
      <c r="O143">
        <v>0</v>
      </c>
      <c r="P143">
        <v>1</v>
      </c>
      <c r="Q143">
        <v>1</v>
      </c>
      <c r="R143">
        <v>149144</v>
      </c>
    </row>
    <row r="144" spans="1:18" x14ac:dyDescent="0.25">
      <c r="A144">
        <v>148230</v>
      </c>
      <c r="B144" t="s">
        <v>269</v>
      </c>
      <c r="C144" t="s">
        <v>16</v>
      </c>
      <c r="D144" t="s">
        <v>13</v>
      </c>
      <c r="E144">
        <v>2494</v>
      </c>
      <c r="F144" t="s">
        <v>749</v>
      </c>
      <c r="G144" t="s">
        <v>191</v>
      </c>
      <c r="H144" t="s">
        <v>750</v>
      </c>
      <c r="I144" t="s">
        <v>751</v>
      </c>
      <c r="J144">
        <v>59.9</v>
      </c>
      <c r="K144" s="1">
        <v>45341</v>
      </c>
      <c r="L144" s="2">
        <v>0.38243055555555555</v>
      </c>
      <c r="M144" t="s">
        <v>699</v>
      </c>
      <c r="N144" t="s">
        <v>700</v>
      </c>
      <c r="O144">
        <v>1</v>
      </c>
      <c r="P144">
        <v>0</v>
      </c>
      <c r="Q144">
        <v>0</v>
      </c>
      <c r="R144">
        <v>149391</v>
      </c>
    </row>
    <row r="145" spans="1:18" x14ac:dyDescent="0.25">
      <c r="A145">
        <v>135490</v>
      </c>
      <c r="B145" t="s">
        <v>269</v>
      </c>
      <c r="C145" t="s">
        <v>13</v>
      </c>
      <c r="D145" t="s">
        <v>13</v>
      </c>
      <c r="E145">
        <v>1094</v>
      </c>
      <c r="F145" t="s">
        <v>463</v>
      </c>
      <c r="G145" t="s">
        <v>90</v>
      </c>
      <c r="H145" t="s">
        <v>464</v>
      </c>
      <c r="I145" t="s">
        <v>465</v>
      </c>
      <c r="J145">
        <v>139</v>
      </c>
      <c r="K145" s="1">
        <v>45341</v>
      </c>
      <c r="L145" s="2">
        <v>0.3687037037037037</v>
      </c>
      <c r="M145" t="s">
        <v>251</v>
      </c>
      <c r="N145" t="s">
        <v>252</v>
      </c>
      <c r="O145">
        <v>0</v>
      </c>
      <c r="P145">
        <v>0</v>
      </c>
      <c r="Q145">
        <v>1</v>
      </c>
      <c r="R145">
        <v>152066</v>
      </c>
    </row>
    <row r="146" spans="1:18" x14ac:dyDescent="0.25">
      <c r="A146">
        <v>198375</v>
      </c>
      <c r="B146" t="s">
        <v>256</v>
      </c>
      <c r="C146" t="s">
        <v>13</v>
      </c>
      <c r="D146" t="s">
        <v>13</v>
      </c>
      <c r="E146">
        <v>2202</v>
      </c>
      <c r="F146" t="s">
        <v>378</v>
      </c>
      <c r="G146" t="s">
        <v>59</v>
      </c>
      <c r="H146" t="s">
        <v>298</v>
      </c>
      <c r="I146" t="s">
        <v>379</v>
      </c>
      <c r="J146">
        <v>69.900000000000006</v>
      </c>
      <c r="K146" s="1">
        <v>45341</v>
      </c>
      <c r="L146" s="2">
        <v>0.36843749999999997</v>
      </c>
      <c r="M146" t="s">
        <v>251</v>
      </c>
      <c r="N146" t="s">
        <v>252</v>
      </c>
      <c r="O146">
        <v>0</v>
      </c>
      <c r="P146">
        <v>0</v>
      </c>
      <c r="Q146">
        <v>1</v>
      </c>
      <c r="R146">
        <v>153920</v>
      </c>
    </row>
    <row r="147" spans="1:18" x14ac:dyDescent="0.25">
      <c r="A147">
        <v>187234</v>
      </c>
      <c r="B147" t="s">
        <v>269</v>
      </c>
      <c r="C147" t="s">
        <v>16</v>
      </c>
      <c r="D147" t="s">
        <v>16</v>
      </c>
      <c r="E147">
        <v>2575</v>
      </c>
      <c r="F147" t="s">
        <v>332</v>
      </c>
      <c r="G147" t="s">
        <v>42</v>
      </c>
      <c r="H147" t="s">
        <v>333</v>
      </c>
      <c r="I147" t="s">
        <v>334</v>
      </c>
      <c r="J147">
        <v>59.9</v>
      </c>
      <c r="K147" s="1">
        <v>45341</v>
      </c>
      <c r="L147" s="2">
        <v>0.36829861111111112</v>
      </c>
      <c r="M147" t="s">
        <v>251</v>
      </c>
      <c r="N147" t="s">
        <v>252</v>
      </c>
      <c r="O147">
        <v>1</v>
      </c>
      <c r="P147">
        <v>1</v>
      </c>
      <c r="Q147">
        <v>1</v>
      </c>
      <c r="R147">
        <v>154242</v>
      </c>
    </row>
    <row r="148" spans="1:18" x14ac:dyDescent="0.25">
      <c r="A148">
        <v>115873</v>
      </c>
      <c r="B148" t="s">
        <v>256</v>
      </c>
      <c r="C148" t="s">
        <v>16</v>
      </c>
      <c r="D148" t="s">
        <v>16</v>
      </c>
      <c r="E148">
        <v>2606</v>
      </c>
      <c r="F148" t="s">
        <v>770</v>
      </c>
      <c r="G148" t="s">
        <v>198</v>
      </c>
      <c r="H148" t="s">
        <v>771</v>
      </c>
      <c r="I148" t="s">
        <v>772</v>
      </c>
      <c r="J148">
        <v>59.9</v>
      </c>
      <c r="K148" s="1">
        <v>45341</v>
      </c>
      <c r="L148" s="2">
        <v>0.38247685185185187</v>
      </c>
      <c r="M148" t="s">
        <v>699</v>
      </c>
      <c r="N148" t="s">
        <v>700</v>
      </c>
      <c r="O148">
        <v>1</v>
      </c>
      <c r="P148">
        <v>1</v>
      </c>
      <c r="Q148">
        <v>0</v>
      </c>
      <c r="R148">
        <v>156099</v>
      </c>
    </row>
    <row r="149" spans="1:18" x14ac:dyDescent="0.25">
      <c r="A149">
        <v>123985</v>
      </c>
      <c r="B149" t="s">
        <v>256</v>
      </c>
      <c r="C149" t="s">
        <v>13</v>
      </c>
      <c r="D149" t="s">
        <v>13</v>
      </c>
      <c r="E149">
        <v>2240</v>
      </c>
      <c r="F149" t="s">
        <v>617</v>
      </c>
      <c r="G149" t="s">
        <v>147</v>
      </c>
      <c r="H149" t="s">
        <v>618</v>
      </c>
      <c r="I149" t="s">
        <v>619</v>
      </c>
      <c r="J149">
        <v>69.900000000000006</v>
      </c>
      <c r="K149" s="1">
        <v>45341</v>
      </c>
      <c r="L149" s="2">
        <v>0.37534722222222222</v>
      </c>
      <c r="M149" t="s">
        <v>610</v>
      </c>
      <c r="N149" t="s">
        <v>252</v>
      </c>
      <c r="O149">
        <v>0</v>
      </c>
      <c r="P149">
        <v>0</v>
      </c>
      <c r="Q149">
        <v>1</v>
      </c>
      <c r="R149">
        <v>156576</v>
      </c>
    </row>
    <row r="150" spans="1:18" x14ac:dyDescent="0.25">
      <c r="A150">
        <v>183064</v>
      </c>
      <c r="B150" t="s">
        <v>269</v>
      </c>
      <c r="C150" t="s">
        <v>16</v>
      </c>
      <c r="D150" t="s">
        <v>13</v>
      </c>
      <c r="E150">
        <v>1773</v>
      </c>
      <c r="F150" t="s">
        <v>484</v>
      </c>
      <c r="G150" t="s">
        <v>98</v>
      </c>
      <c r="H150" t="s">
        <v>485</v>
      </c>
      <c r="I150" t="s">
        <v>486</v>
      </c>
      <c r="J150">
        <v>89.9</v>
      </c>
      <c r="K150" s="1">
        <v>45341</v>
      </c>
      <c r="L150" s="2">
        <v>0.36875000000000002</v>
      </c>
      <c r="M150" t="s">
        <v>251</v>
      </c>
      <c r="N150" t="s">
        <v>252</v>
      </c>
      <c r="O150">
        <v>1</v>
      </c>
      <c r="P150">
        <v>0</v>
      </c>
      <c r="Q150">
        <v>1</v>
      </c>
      <c r="R150">
        <v>159393</v>
      </c>
    </row>
    <row r="151" spans="1:18" x14ac:dyDescent="0.25">
      <c r="A151">
        <v>156342</v>
      </c>
      <c r="B151" t="s">
        <v>269</v>
      </c>
      <c r="C151" t="s">
        <v>16</v>
      </c>
      <c r="D151" t="s">
        <v>16</v>
      </c>
      <c r="E151">
        <v>1466</v>
      </c>
      <c r="F151" t="s">
        <v>819</v>
      </c>
      <c r="G151" t="s">
        <v>215</v>
      </c>
      <c r="H151" t="s">
        <v>820</v>
      </c>
      <c r="I151" t="s">
        <v>821</v>
      </c>
      <c r="J151">
        <v>109</v>
      </c>
      <c r="K151" s="1">
        <v>45341</v>
      </c>
      <c r="L151" s="2">
        <v>0.3712847222222222</v>
      </c>
      <c r="M151" t="s">
        <v>811</v>
      </c>
      <c r="N151" t="s">
        <v>252</v>
      </c>
      <c r="O151">
        <v>1</v>
      </c>
      <c r="P151">
        <v>1</v>
      </c>
      <c r="Q151">
        <v>1</v>
      </c>
      <c r="R151">
        <v>159794</v>
      </c>
    </row>
    <row r="152" spans="1:18" x14ac:dyDescent="0.25">
      <c r="A152">
        <v>168571</v>
      </c>
      <c r="B152" t="s">
        <v>12</v>
      </c>
      <c r="C152" t="s">
        <v>13</v>
      </c>
      <c r="D152" t="s">
        <v>13</v>
      </c>
      <c r="E152">
        <v>1778</v>
      </c>
      <c r="F152" t="s">
        <v>554</v>
      </c>
      <c r="G152" t="s">
        <v>124</v>
      </c>
      <c r="H152" t="s">
        <v>485</v>
      </c>
      <c r="I152" t="s">
        <v>555</v>
      </c>
      <c r="J152">
        <v>89.9</v>
      </c>
      <c r="K152" s="1">
        <v>45341</v>
      </c>
      <c r="L152" s="2">
        <v>0.36913194444444447</v>
      </c>
      <c r="M152" t="s">
        <v>251</v>
      </c>
      <c r="N152" t="s">
        <v>252</v>
      </c>
      <c r="O152">
        <v>0</v>
      </c>
      <c r="P152">
        <v>0</v>
      </c>
      <c r="Q152">
        <v>1</v>
      </c>
      <c r="R152">
        <v>159842</v>
      </c>
    </row>
    <row r="153" spans="1:18" x14ac:dyDescent="0.25">
      <c r="A153">
        <v>111760</v>
      </c>
      <c r="B153" t="s">
        <v>256</v>
      </c>
      <c r="C153" t="s">
        <v>13</v>
      </c>
      <c r="D153" t="s">
        <v>13</v>
      </c>
      <c r="E153">
        <v>1474</v>
      </c>
      <c r="F153" t="s">
        <v>375</v>
      </c>
      <c r="G153" t="s">
        <v>58</v>
      </c>
      <c r="H153" t="s">
        <v>376</v>
      </c>
      <c r="I153" t="s">
        <v>377</v>
      </c>
      <c r="J153">
        <v>109</v>
      </c>
      <c r="K153" s="1">
        <v>45341</v>
      </c>
      <c r="L153" s="2">
        <v>0.36843749999999997</v>
      </c>
      <c r="M153" t="s">
        <v>251</v>
      </c>
      <c r="N153" t="s">
        <v>252</v>
      </c>
      <c r="O153">
        <v>0</v>
      </c>
      <c r="P153">
        <v>0</v>
      </c>
      <c r="Q153">
        <v>1</v>
      </c>
      <c r="R153">
        <v>160666</v>
      </c>
    </row>
    <row r="154" spans="1:18" x14ac:dyDescent="0.25">
      <c r="A154">
        <v>194339</v>
      </c>
      <c r="B154" t="s">
        <v>256</v>
      </c>
      <c r="C154" t="s">
        <v>13</v>
      </c>
      <c r="D154" t="s">
        <v>13</v>
      </c>
      <c r="E154">
        <v>1792</v>
      </c>
      <c r="F154" t="s">
        <v>356</v>
      </c>
      <c r="G154" t="s">
        <v>51</v>
      </c>
      <c r="H154" t="s">
        <v>357</v>
      </c>
      <c r="I154" t="s">
        <v>358</v>
      </c>
      <c r="J154">
        <v>89.9</v>
      </c>
      <c r="K154" s="1">
        <v>45341</v>
      </c>
      <c r="L154" s="2">
        <v>0.36837962962962961</v>
      </c>
      <c r="M154" t="s">
        <v>251</v>
      </c>
      <c r="N154" t="s">
        <v>252</v>
      </c>
      <c r="O154">
        <v>0</v>
      </c>
      <c r="P154">
        <v>0</v>
      </c>
      <c r="Q154">
        <v>1</v>
      </c>
      <c r="R154">
        <v>161101</v>
      </c>
    </row>
    <row r="155" spans="1:18" x14ac:dyDescent="0.25">
      <c r="A155">
        <v>111979</v>
      </c>
      <c r="B155" t="s">
        <v>269</v>
      </c>
      <c r="C155" t="s">
        <v>13</v>
      </c>
      <c r="D155" t="s">
        <v>13</v>
      </c>
      <c r="E155">
        <v>2734</v>
      </c>
      <c r="F155" t="s">
        <v>665</v>
      </c>
      <c r="G155" t="s">
        <v>163</v>
      </c>
      <c r="H155" t="s">
        <v>666</v>
      </c>
      <c r="I155" t="s">
        <v>667</v>
      </c>
      <c r="J155">
        <v>59.9</v>
      </c>
      <c r="K155" s="1">
        <v>45341</v>
      </c>
      <c r="L155" s="2">
        <v>0.37549768518518517</v>
      </c>
      <c r="M155" t="s">
        <v>610</v>
      </c>
      <c r="N155" t="s">
        <v>252</v>
      </c>
      <c r="O155">
        <v>0</v>
      </c>
      <c r="P155">
        <v>0</v>
      </c>
      <c r="Q155">
        <v>1</v>
      </c>
      <c r="R155">
        <v>163767</v>
      </c>
    </row>
    <row r="156" spans="1:18" x14ac:dyDescent="0.25">
      <c r="A156">
        <v>117725</v>
      </c>
      <c r="B156" t="s">
        <v>12</v>
      </c>
      <c r="C156" t="s">
        <v>13</v>
      </c>
      <c r="D156" t="s">
        <v>16</v>
      </c>
      <c r="E156">
        <v>1506</v>
      </c>
      <c r="F156" t="s">
        <v>451</v>
      </c>
      <c r="G156" t="s">
        <v>85</v>
      </c>
      <c r="H156" t="s">
        <v>452</v>
      </c>
      <c r="I156" t="s">
        <v>453</v>
      </c>
      <c r="J156">
        <v>109</v>
      </c>
      <c r="K156" s="1">
        <v>45341</v>
      </c>
      <c r="L156" s="2">
        <v>0.36865740740740743</v>
      </c>
      <c r="M156" t="s">
        <v>251</v>
      </c>
      <c r="N156" t="s">
        <v>252</v>
      </c>
      <c r="O156">
        <v>0</v>
      </c>
      <c r="P156">
        <v>1</v>
      </c>
      <c r="Q156">
        <v>1</v>
      </c>
      <c r="R156">
        <v>164154</v>
      </c>
    </row>
    <row r="157" spans="1:18" x14ac:dyDescent="0.25">
      <c r="A157">
        <v>175927</v>
      </c>
      <c r="B157" t="s">
        <v>256</v>
      </c>
      <c r="C157" t="s">
        <v>13</v>
      </c>
      <c r="D157" t="s">
        <v>16</v>
      </c>
      <c r="E157">
        <v>1506</v>
      </c>
      <c r="F157" t="s">
        <v>581</v>
      </c>
      <c r="G157" t="s">
        <v>135</v>
      </c>
      <c r="H157" t="s">
        <v>582</v>
      </c>
      <c r="I157" t="s">
        <v>583</v>
      </c>
      <c r="J157">
        <v>109</v>
      </c>
      <c r="K157" s="1">
        <v>45341</v>
      </c>
      <c r="L157" s="2">
        <v>0.36920138888888887</v>
      </c>
      <c r="M157" t="s">
        <v>251</v>
      </c>
      <c r="N157" t="s">
        <v>252</v>
      </c>
      <c r="O157">
        <v>0</v>
      </c>
      <c r="P157">
        <v>1</v>
      </c>
      <c r="Q157">
        <v>1</v>
      </c>
      <c r="R157">
        <v>164154</v>
      </c>
    </row>
    <row r="158" spans="1:18" x14ac:dyDescent="0.25">
      <c r="A158">
        <v>124981</v>
      </c>
      <c r="B158" t="s">
        <v>269</v>
      </c>
      <c r="C158" t="s">
        <v>13</v>
      </c>
      <c r="D158" t="s">
        <v>16</v>
      </c>
      <c r="E158">
        <v>1832</v>
      </c>
      <c r="F158" t="s">
        <v>314</v>
      </c>
      <c r="G158" t="s">
        <v>36</v>
      </c>
      <c r="H158" t="s">
        <v>315</v>
      </c>
      <c r="I158" t="s">
        <v>316</v>
      </c>
      <c r="J158">
        <v>89.9</v>
      </c>
      <c r="K158" s="1">
        <v>45341</v>
      </c>
      <c r="L158" s="2">
        <v>0.36826388888888889</v>
      </c>
      <c r="M158" t="s">
        <v>251</v>
      </c>
      <c r="N158" t="s">
        <v>252</v>
      </c>
      <c r="O158">
        <v>0</v>
      </c>
      <c r="P158">
        <v>1</v>
      </c>
      <c r="Q158">
        <v>1</v>
      </c>
      <c r="R158">
        <v>164697</v>
      </c>
    </row>
    <row r="159" spans="1:18" x14ac:dyDescent="0.25">
      <c r="A159">
        <v>133109</v>
      </c>
      <c r="B159" t="s">
        <v>269</v>
      </c>
      <c r="C159" t="s">
        <v>13</v>
      </c>
      <c r="D159" t="s">
        <v>16</v>
      </c>
      <c r="E159">
        <v>2063</v>
      </c>
      <c r="F159" t="s">
        <v>366</v>
      </c>
      <c r="G159" t="s">
        <v>55</v>
      </c>
      <c r="H159" t="s">
        <v>367</v>
      </c>
      <c r="I159" t="s">
        <v>368</v>
      </c>
      <c r="J159">
        <v>79.900000000000006</v>
      </c>
      <c r="K159" s="1">
        <v>45341</v>
      </c>
      <c r="L159" s="2">
        <v>0.36841435185185184</v>
      </c>
      <c r="M159" t="s">
        <v>251</v>
      </c>
      <c r="N159" t="s">
        <v>252</v>
      </c>
      <c r="O159">
        <v>0</v>
      </c>
      <c r="P159">
        <v>1</v>
      </c>
      <c r="Q159">
        <v>1</v>
      </c>
      <c r="R159">
        <v>164834</v>
      </c>
    </row>
    <row r="160" spans="1:18" x14ac:dyDescent="0.25">
      <c r="A160">
        <v>135610</v>
      </c>
      <c r="B160" t="s">
        <v>12</v>
      </c>
      <c r="C160" t="s">
        <v>16</v>
      </c>
      <c r="D160" t="s">
        <v>16</v>
      </c>
      <c r="E160">
        <v>1513</v>
      </c>
      <c r="F160" t="s">
        <v>427</v>
      </c>
      <c r="G160" t="s">
        <v>77</v>
      </c>
      <c r="H160" t="s">
        <v>428</v>
      </c>
      <c r="I160" t="s">
        <v>429</v>
      </c>
      <c r="J160">
        <v>109</v>
      </c>
      <c r="K160" s="1">
        <v>45341</v>
      </c>
      <c r="L160" s="2">
        <v>0.36857638888888888</v>
      </c>
      <c r="M160" t="s">
        <v>251</v>
      </c>
      <c r="N160" t="s">
        <v>252</v>
      </c>
      <c r="O160">
        <v>1</v>
      </c>
      <c r="P160">
        <v>1</v>
      </c>
      <c r="Q160">
        <v>1</v>
      </c>
      <c r="R160">
        <v>164917</v>
      </c>
    </row>
    <row r="161" spans="1:18" x14ac:dyDescent="0.25">
      <c r="A161">
        <v>124088</v>
      </c>
      <c r="B161" t="s">
        <v>256</v>
      </c>
      <c r="C161" t="s">
        <v>16</v>
      </c>
      <c r="D161" t="s">
        <v>16</v>
      </c>
      <c r="E161">
        <v>2065</v>
      </c>
      <c r="F161" t="s">
        <v>416</v>
      </c>
      <c r="G161" t="s">
        <v>73</v>
      </c>
      <c r="H161" t="s">
        <v>417</v>
      </c>
      <c r="I161" t="s">
        <v>418</v>
      </c>
      <c r="J161">
        <v>79.900000000000006</v>
      </c>
      <c r="K161" s="1">
        <v>45341</v>
      </c>
      <c r="L161" s="2">
        <v>0.36854166666666666</v>
      </c>
      <c r="M161" t="s">
        <v>251</v>
      </c>
      <c r="N161" t="s">
        <v>252</v>
      </c>
      <c r="O161">
        <v>1</v>
      </c>
      <c r="P161">
        <v>1</v>
      </c>
      <c r="Q161">
        <v>1</v>
      </c>
      <c r="R161">
        <v>164994</v>
      </c>
    </row>
    <row r="162" spans="1:18" x14ac:dyDescent="0.25">
      <c r="A162">
        <v>150424</v>
      </c>
      <c r="B162" t="s">
        <v>269</v>
      </c>
      <c r="C162" t="s">
        <v>13</v>
      </c>
      <c r="D162" t="s">
        <v>16</v>
      </c>
      <c r="E162">
        <v>2067</v>
      </c>
      <c r="F162" t="s">
        <v>590</v>
      </c>
      <c r="G162" t="s">
        <v>138</v>
      </c>
      <c r="H162" t="s">
        <v>591</v>
      </c>
      <c r="I162" t="s">
        <v>592</v>
      </c>
      <c r="J162">
        <v>79.900000000000006</v>
      </c>
      <c r="K162" s="1">
        <v>45341</v>
      </c>
      <c r="L162" s="2">
        <v>0.36921296296296297</v>
      </c>
      <c r="M162" t="s">
        <v>251</v>
      </c>
      <c r="N162" t="s">
        <v>252</v>
      </c>
      <c r="O162">
        <v>0</v>
      </c>
      <c r="P162">
        <v>1</v>
      </c>
      <c r="Q162">
        <v>1</v>
      </c>
      <c r="R162">
        <v>165153</v>
      </c>
    </row>
    <row r="163" spans="1:18" x14ac:dyDescent="0.25">
      <c r="A163">
        <v>146839</v>
      </c>
      <c r="B163" t="s">
        <v>12</v>
      </c>
      <c r="C163" t="s">
        <v>13</v>
      </c>
      <c r="D163" t="s">
        <v>13</v>
      </c>
      <c r="E163">
        <v>1525</v>
      </c>
      <c r="F163" t="s">
        <v>508</v>
      </c>
      <c r="G163" t="s">
        <v>106</v>
      </c>
      <c r="H163" t="s">
        <v>354</v>
      </c>
      <c r="I163" t="s">
        <v>509</v>
      </c>
      <c r="J163">
        <v>109</v>
      </c>
      <c r="K163" s="1">
        <v>45341</v>
      </c>
      <c r="L163" s="2">
        <v>0.36881944444444442</v>
      </c>
      <c r="M163" t="s">
        <v>251</v>
      </c>
      <c r="N163" t="s">
        <v>252</v>
      </c>
      <c r="O163">
        <v>0</v>
      </c>
      <c r="P163">
        <v>0</v>
      </c>
      <c r="Q163">
        <v>1</v>
      </c>
      <c r="R163">
        <v>166225</v>
      </c>
    </row>
    <row r="164" spans="1:18" x14ac:dyDescent="0.25">
      <c r="A164">
        <v>129247</v>
      </c>
      <c r="B164" t="s">
        <v>269</v>
      </c>
      <c r="C164" t="s">
        <v>16</v>
      </c>
      <c r="D164" t="s">
        <v>13</v>
      </c>
      <c r="E164">
        <v>2386</v>
      </c>
      <c r="F164" t="s">
        <v>659</v>
      </c>
      <c r="G164" t="s">
        <v>161</v>
      </c>
      <c r="H164" t="s">
        <v>660</v>
      </c>
      <c r="I164" t="s">
        <v>661</v>
      </c>
      <c r="J164">
        <v>69.900000000000006</v>
      </c>
      <c r="K164" s="1">
        <v>45341</v>
      </c>
      <c r="L164" s="2">
        <v>0.37548611111111113</v>
      </c>
      <c r="M164" t="s">
        <v>610</v>
      </c>
      <c r="N164" t="s">
        <v>252</v>
      </c>
      <c r="O164">
        <v>1</v>
      </c>
      <c r="P164">
        <v>0</v>
      </c>
      <c r="Q164">
        <v>1</v>
      </c>
      <c r="R164">
        <v>166781</v>
      </c>
    </row>
    <row r="165" spans="1:18" x14ac:dyDescent="0.25">
      <c r="A165">
        <v>110329</v>
      </c>
      <c r="B165" t="s">
        <v>269</v>
      </c>
      <c r="C165" t="s">
        <v>13</v>
      </c>
      <c r="D165" t="s">
        <v>16</v>
      </c>
      <c r="E165">
        <v>2397</v>
      </c>
      <c r="F165" t="s">
        <v>685</v>
      </c>
      <c r="G165" t="s">
        <v>170</v>
      </c>
      <c r="H165" t="s">
        <v>686</v>
      </c>
      <c r="I165" t="s">
        <v>687</v>
      </c>
      <c r="J165">
        <v>69.900000000000006</v>
      </c>
      <c r="K165" s="1">
        <v>45341</v>
      </c>
      <c r="L165" s="2">
        <v>0.37555555555555553</v>
      </c>
      <c r="M165" t="s">
        <v>610</v>
      </c>
      <c r="N165" t="s">
        <v>252</v>
      </c>
      <c r="O165">
        <v>0</v>
      </c>
      <c r="P165">
        <v>1</v>
      </c>
      <c r="Q165">
        <v>1</v>
      </c>
      <c r="R165">
        <v>167550</v>
      </c>
    </row>
    <row r="166" spans="1:18" x14ac:dyDescent="0.25">
      <c r="A166">
        <v>120354</v>
      </c>
      <c r="B166" t="s">
        <v>12</v>
      </c>
      <c r="C166" t="s">
        <v>16</v>
      </c>
      <c r="D166" t="s">
        <v>13</v>
      </c>
      <c r="E166">
        <v>2836</v>
      </c>
      <c r="F166" t="s">
        <v>668</v>
      </c>
      <c r="G166" t="s">
        <v>164</v>
      </c>
      <c r="H166" t="s">
        <v>669</v>
      </c>
      <c r="I166" t="s">
        <v>670</v>
      </c>
      <c r="J166">
        <v>59.9</v>
      </c>
      <c r="K166" s="1">
        <v>45341</v>
      </c>
      <c r="L166" s="2">
        <v>0.37550925925925926</v>
      </c>
      <c r="M166" t="s">
        <v>610</v>
      </c>
      <c r="N166" t="s">
        <v>252</v>
      </c>
      <c r="O166">
        <v>1</v>
      </c>
      <c r="P166">
        <v>0</v>
      </c>
      <c r="Q166">
        <v>1</v>
      </c>
      <c r="R166">
        <v>169876</v>
      </c>
    </row>
    <row r="167" spans="1:18" x14ac:dyDescent="0.25">
      <c r="A167">
        <v>121348</v>
      </c>
      <c r="B167" t="s">
        <v>256</v>
      </c>
      <c r="C167" t="s">
        <v>13</v>
      </c>
      <c r="D167" t="s">
        <v>16</v>
      </c>
      <c r="E167">
        <v>1008</v>
      </c>
      <c r="F167" t="s">
        <v>740</v>
      </c>
      <c r="G167" t="s">
        <v>127</v>
      </c>
      <c r="H167" t="s">
        <v>295</v>
      </c>
      <c r="I167" t="s">
        <v>576</v>
      </c>
      <c r="J167">
        <v>169</v>
      </c>
      <c r="K167" s="1">
        <v>45341</v>
      </c>
      <c r="L167" s="2">
        <v>0.38233796296296296</v>
      </c>
      <c r="M167" t="s">
        <v>849</v>
      </c>
      <c r="N167" t="s">
        <v>252</v>
      </c>
      <c r="O167">
        <v>0</v>
      </c>
      <c r="P167">
        <v>1</v>
      </c>
      <c r="Q167">
        <v>1</v>
      </c>
      <c r="R167">
        <v>170352</v>
      </c>
    </row>
    <row r="168" spans="1:18" x14ac:dyDescent="0.25">
      <c r="A168">
        <v>158781</v>
      </c>
      <c r="B168" t="s">
        <v>256</v>
      </c>
      <c r="C168" t="s">
        <v>16</v>
      </c>
      <c r="D168" t="s">
        <v>16</v>
      </c>
      <c r="E168">
        <v>2443</v>
      </c>
      <c r="F168" t="s">
        <v>564</v>
      </c>
      <c r="G168" t="s">
        <v>128</v>
      </c>
      <c r="H168" t="s">
        <v>565</v>
      </c>
      <c r="I168" t="s">
        <v>566</v>
      </c>
      <c r="J168">
        <v>69.900000000000006</v>
      </c>
      <c r="K168" s="1">
        <v>45341</v>
      </c>
      <c r="L168" s="2">
        <v>0.3691550925925926</v>
      </c>
      <c r="M168" t="s">
        <v>251</v>
      </c>
      <c r="N168" t="s">
        <v>252</v>
      </c>
      <c r="O168">
        <v>1</v>
      </c>
      <c r="P168">
        <v>1</v>
      </c>
      <c r="Q168">
        <v>1</v>
      </c>
      <c r="R168">
        <v>170766</v>
      </c>
    </row>
    <row r="169" spans="1:18" x14ac:dyDescent="0.25">
      <c r="A169">
        <v>159182</v>
      </c>
      <c r="B169" t="s">
        <v>269</v>
      </c>
      <c r="C169" t="s">
        <v>16</v>
      </c>
      <c r="D169" t="s">
        <v>13</v>
      </c>
      <c r="E169">
        <v>1014</v>
      </c>
      <c r="F169" t="s">
        <v>785</v>
      </c>
      <c r="G169" t="s">
        <v>142</v>
      </c>
      <c r="H169" t="s">
        <v>339</v>
      </c>
      <c r="I169" t="s">
        <v>337</v>
      </c>
      <c r="J169">
        <v>169</v>
      </c>
      <c r="K169" s="1">
        <v>45341</v>
      </c>
      <c r="L169" s="2">
        <v>0.38244212962962965</v>
      </c>
      <c r="M169" t="s">
        <v>251</v>
      </c>
      <c r="N169" t="s">
        <v>252</v>
      </c>
      <c r="O169">
        <v>1</v>
      </c>
      <c r="P169">
        <v>0</v>
      </c>
      <c r="Q169">
        <v>1</v>
      </c>
      <c r="R169">
        <v>171366</v>
      </c>
    </row>
    <row r="170" spans="1:18" x14ac:dyDescent="0.25">
      <c r="A170">
        <v>166331</v>
      </c>
      <c r="B170" t="s">
        <v>12</v>
      </c>
      <c r="C170" t="s">
        <v>16</v>
      </c>
      <c r="D170" t="s">
        <v>16</v>
      </c>
      <c r="E170">
        <v>2877</v>
      </c>
      <c r="F170" t="s">
        <v>713</v>
      </c>
      <c r="G170" t="s">
        <v>179</v>
      </c>
      <c r="H170" t="s">
        <v>714</v>
      </c>
      <c r="I170" t="s">
        <v>715</v>
      </c>
      <c r="J170">
        <v>59.9</v>
      </c>
      <c r="K170" s="1">
        <v>45341</v>
      </c>
      <c r="L170" s="2">
        <v>0.38234953703703706</v>
      </c>
      <c r="M170" t="s">
        <v>699</v>
      </c>
      <c r="N170" t="s">
        <v>700</v>
      </c>
      <c r="O170">
        <v>1</v>
      </c>
      <c r="P170">
        <v>1</v>
      </c>
      <c r="Q170">
        <v>0</v>
      </c>
      <c r="R170">
        <v>172332</v>
      </c>
    </row>
    <row r="171" spans="1:18" x14ac:dyDescent="0.25">
      <c r="A171">
        <v>190238</v>
      </c>
      <c r="B171" t="s">
        <v>269</v>
      </c>
      <c r="C171" t="s">
        <v>13</v>
      </c>
      <c r="D171" t="s">
        <v>16</v>
      </c>
      <c r="E171">
        <v>1917</v>
      </c>
      <c r="F171" t="s">
        <v>419</v>
      </c>
      <c r="G171" t="s">
        <v>74</v>
      </c>
      <c r="H171" t="s">
        <v>420</v>
      </c>
      <c r="I171" t="s">
        <v>421</v>
      </c>
      <c r="J171">
        <v>89.9</v>
      </c>
      <c r="K171" s="1">
        <v>45341</v>
      </c>
      <c r="L171" s="2">
        <v>0.36855324074074075</v>
      </c>
      <c r="M171" t="s">
        <v>251</v>
      </c>
      <c r="N171" t="s">
        <v>252</v>
      </c>
      <c r="O171">
        <v>0</v>
      </c>
      <c r="P171">
        <v>1</v>
      </c>
      <c r="Q171">
        <v>1</v>
      </c>
      <c r="R171">
        <v>172338</v>
      </c>
    </row>
    <row r="172" spans="1:18" x14ac:dyDescent="0.25">
      <c r="A172">
        <v>138505</v>
      </c>
      <c r="B172" t="s">
        <v>269</v>
      </c>
      <c r="C172" t="s">
        <v>13</v>
      </c>
      <c r="D172" t="s">
        <v>13</v>
      </c>
      <c r="E172">
        <v>2478</v>
      </c>
      <c r="F172" t="s">
        <v>381</v>
      </c>
      <c r="G172" t="s">
        <v>61</v>
      </c>
      <c r="H172" t="s">
        <v>382</v>
      </c>
      <c r="I172" t="s">
        <v>383</v>
      </c>
      <c r="J172">
        <v>69.900000000000006</v>
      </c>
      <c r="K172" s="1">
        <v>45341</v>
      </c>
      <c r="L172" s="2">
        <v>0.36846064814814816</v>
      </c>
      <c r="M172" t="s">
        <v>251</v>
      </c>
      <c r="N172" t="s">
        <v>252</v>
      </c>
      <c r="O172">
        <v>0</v>
      </c>
      <c r="P172">
        <v>0</v>
      </c>
      <c r="Q172">
        <v>1</v>
      </c>
      <c r="R172">
        <v>173212</v>
      </c>
    </row>
    <row r="173" spans="1:18" x14ac:dyDescent="0.25">
      <c r="A173">
        <v>123077</v>
      </c>
      <c r="B173" t="s">
        <v>269</v>
      </c>
      <c r="C173" t="s">
        <v>13</v>
      </c>
      <c r="D173" t="s">
        <v>13</v>
      </c>
      <c r="E173">
        <v>1603</v>
      </c>
      <c r="F173" t="s">
        <v>758</v>
      </c>
      <c r="G173" t="s">
        <v>133</v>
      </c>
      <c r="H173" t="s">
        <v>312</v>
      </c>
      <c r="I173" t="s">
        <v>471</v>
      </c>
      <c r="J173">
        <v>109</v>
      </c>
      <c r="K173" s="1">
        <v>45341</v>
      </c>
      <c r="L173" s="2">
        <v>0.38238425925925928</v>
      </c>
      <c r="M173" t="s">
        <v>849</v>
      </c>
      <c r="N173" t="s">
        <v>252</v>
      </c>
      <c r="O173">
        <v>0</v>
      </c>
      <c r="P173">
        <v>0</v>
      </c>
      <c r="Q173">
        <v>1</v>
      </c>
      <c r="R173">
        <v>174727</v>
      </c>
    </row>
    <row r="174" spans="1:18" x14ac:dyDescent="0.25">
      <c r="A174">
        <v>165158</v>
      </c>
      <c r="B174" t="s">
        <v>269</v>
      </c>
      <c r="C174" t="s">
        <v>13</v>
      </c>
      <c r="D174" t="s">
        <v>13</v>
      </c>
      <c r="E174">
        <v>1622</v>
      </c>
      <c r="F174" t="s">
        <v>514</v>
      </c>
      <c r="G174" t="s">
        <v>109</v>
      </c>
      <c r="H174" t="s">
        <v>515</v>
      </c>
      <c r="I174" t="s">
        <v>516</v>
      </c>
      <c r="J174">
        <v>109</v>
      </c>
      <c r="K174" s="1">
        <v>45341</v>
      </c>
      <c r="L174" s="2">
        <v>0.36883101851851852</v>
      </c>
      <c r="M174" t="s">
        <v>251</v>
      </c>
      <c r="N174" t="s">
        <v>252</v>
      </c>
      <c r="O174">
        <v>0</v>
      </c>
      <c r="P174">
        <v>0</v>
      </c>
      <c r="Q174">
        <v>1</v>
      </c>
      <c r="R174">
        <v>176798</v>
      </c>
    </row>
    <row r="175" spans="1:18" x14ac:dyDescent="0.25">
      <c r="A175">
        <v>133078</v>
      </c>
      <c r="B175" t="s">
        <v>12</v>
      </c>
      <c r="C175" t="s">
        <v>13</v>
      </c>
      <c r="D175" t="s">
        <v>16</v>
      </c>
      <c r="E175">
        <v>2535</v>
      </c>
      <c r="F175" t="s">
        <v>522</v>
      </c>
      <c r="G175" t="s">
        <v>112</v>
      </c>
      <c r="H175" t="s">
        <v>468</v>
      </c>
      <c r="I175" t="s">
        <v>523</v>
      </c>
      <c r="J175">
        <v>69.900000000000006</v>
      </c>
      <c r="K175" s="1">
        <v>45341</v>
      </c>
      <c r="L175" s="2">
        <v>0.36885416666666665</v>
      </c>
      <c r="M175" t="s">
        <v>251</v>
      </c>
      <c r="N175" t="s">
        <v>252</v>
      </c>
      <c r="O175">
        <v>0</v>
      </c>
      <c r="P175">
        <v>1</v>
      </c>
      <c r="Q175">
        <v>1</v>
      </c>
      <c r="R175">
        <v>177196</v>
      </c>
    </row>
    <row r="176" spans="1:18" x14ac:dyDescent="0.25">
      <c r="A176">
        <v>125409</v>
      </c>
      <c r="B176" t="s">
        <v>256</v>
      </c>
      <c r="C176" t="s">
        <v>16</v>
      </c>
      <c r="D176" t="s">
        <v>13</v>
      </c>
      <c r="E176">
        <v>2040</v>
      </c>
      <c r="F176" t="s">
        <v>472</v>
      </c>
      <c r="G176" t="s">
        <v>94</v>
      </c>
      <c r="H176" t="s">
        <v>473</v>
      </c>
      <c r="I176" t="s">
        <v>474</v>
      </c>
      <c r="J176">
        <v>89.9</v>
      </c>
      <c r="K176" s="1">
        <v>45341</v>
      </c>
      <c r="L176" s="2">
        <v>0.36872685185185183</v>
      </c>
      <c r="M176" t="s">
        <v>251</v>
      </c>
      <c r="N176" t="s">
        <v>252</v>
      </c>
      <c r="O176">
        <v>1</v>
      </c>
      <c r="P176">
        <v>0</v>
      </c>
      <c r="Q176">
        <v>1</v>
      </c>
      <c r="R176">
        <v>183396</v>
      </c>
    </row>
    <row r="177" spans="1:18" x14ac:dyDescent="0.25">
      <c r="A177">
        <v>134763</v>
      </c>
      <c r="B177" t="s">
        <v>269</v>
      </c>
      <c r="C177" t="s">
        <v>13</v>
      </c>
      <c r="D177" t="s">
        <v>16</v>
      </c>
      <c r="E177">
        <v>2048</v>
      </c>
      <c r="F177" t="s">
        <v>467</v>
      </c>
      <c r="G177" t="s">
        <v>92</v>
      </c>
      <c r="H177" t="s">
        <v>468</v>
      </c>
      <c r="I177" t="s">
        <v>469</v>
      </c>
      <c r="J177">
        <v>89.9</v>
      </c>
      <c r="K177" s="1">
        <v>45341</v>
      </c>
      <c r="L177" s="2">
        <v>0.36871527777777779</v>
      </c>
      <c r="M177" t="s">
        <v>251</v>
      </c>
      <c r="N177" t="s">
        <v>252</v>
      </c>
      <c r="O177">
        <v>0</v>
      </c>
      <c r="P177">
        <v>1</v>
      </c>
      <c r="Q177">
        <v>1</v>
      </c>
      <c r="R177">
        <v>184115</v>
      </c>
    </row>
    <row r="178" spans="1:18" x14ac:dyDescent="0.25">
      <c r="A178">
        <v>139967</v>
      </c>
      <c r="B178" t="s">
        <v>256</v>
      </c>
      <c r="C178" t="s">
        <v>13</v>
      </c>
      <c r="D178" t="s">
        <v>13</v>
      </c>
      <c r="E178">
        <v>2634</v>
      </c>
      <c r="F178" t="s">
        <v>731</v>
      </c>
      <c r="G178" t="s">
        <v>124</v>
      </c>
      <c r="H178" t="s">
        <v>286</v>
      </c>
      <c r="I178" t="s">
        <v>766</v>
      </c>
      <c r="J178">
        <v>69.900000000000006</v>
      </c>
      <c r="K178" s="1">
        <v>45341</v>
      </c>
      <c r="L178" s="2">
        <v>0.38231481481481483</v>
      </c>
      <c r="M178" t="s">
        <v>849</v>
      </c>
      <c r="N178" t="s">
        <v>252</v>
      </c>
      <c r="O178">
        <v>0</v>
      </c>
      <c r="P178">
        <v>0</v>
      </c>
      <c r="Q178">
        <v>1</v>
      </c>
      <c r="R178">
        <v>184117</v>
      </c>
    </row>
    <row r="179" spans="1:18" x14ac:dyDescent="0.25">
      <c r="A179">
        <v>128179</v>
      </c>
      <c r="B179" t="s">
        <v>256</v>
      </c>
      <c r="C179" t="s">
        <v>16</v>
      </c>
      <c r="D179" t="s">
        <v>13</v>
      </c>
      <c r="E179">
        <v>2060</v>
      </c>
      <c r="F179" t="s">
        <v>490</v>
      </c>
      <c r="G179" t="s">
        <v>100</v>
      </c>
      <c r="H179" t="s">
        <v>491</v>
      </c>
      <c r="I179" t="s">
        <v>492</v>
      </c>
      <c r="J179">
        <v>89.9</v>
      </c>
      <c r="K179" s="1">
        <v>45341</v>
      </c>
      <c r="L179" s="2">
        <v>0.36878472222222225</v>
      </c>
      <c r="M179" t="s">
        <v>251</v>
      </c>
      <c r="N179" t="s">
        <v>252</v>
      </c>
      <c r="O179">
        <v>1</v>
      </c>
      <c r="P179">
        <v>0</v>
      </c>
      <c r="Q179">
        <v>1</v>
      </c>
      <c r="R179">
        <v>185194</v>
      </c>
    </row>
    <row r="180" spans="1:18" x14ac:dyDescent="0.25">
      <c r="A180">
        <v>141904</v>
      </c>
      <c r="B180" t="s">
        <v>256</v>
      </c>
      <c r="C180" t="s">
        <v>16</v>
      </c>
      <c r="D180" t="s">
        <v>16</v>
      </c>
      <c r="E180">
        <v>1712</v>
      </c>
      <c r="F180" t="s">
        <v>311</v>
      </c>
      <c r="G180" t="s">
        <v>35</v>
      </c>
      <c r="H180" t="s">
        <v>312</v>
      </c>
      <c r="I180" t="s">
        <v>313</v>
      </c>
      <c r="J180">
        <v>109</v>
      </c>
      <c r="K180" s="1">
        <v>45341</v>
      </c>
      <c r="L180" s="2">
        <v>0.3682523148148148</v>
      </c>
      <c r="M180" t="s">
        <v>251</v>
      </c>
      <c r="N180" t="s">
        <v>252</v>
      </c>
      <c r="O180">
        <v>1</v>
      </c>
      <c r="P180">
        <v>1</v>
      </c>
      <c r="Q180">
        <v>1</v>
      </c>
      <c r="R180">
        <v>186608</v>
      </c>
    </row>
    <row r="181" spans="1:18" x14ac:dyDescent="0.25">
      <c r="A181">
        <v>110295</v>
      </c>
      <c r="B181" t="s">
        <v>256</v>
      </c>
      <c r="C181" t="s">
        <v>16</v>
      </c>
      <c r="D181" t="s">
        <v>13</v>
      </c>
      <c r="E181">
        <v>1448</v>
      </c>
      <c r="F181" t="s">
        <v>530</v>
      </c>
      <c r="G181" t="s">
        <v>116</v>
      </c>
      <c r="H181" t="s">
        <v>531</v>
      </c>
      <c r="I181" t="s">
        <v>532</v>
      </c>
      <c r="J181">
        <v>129</v>
      </c>
      <c r="K181" s="1">
        <v>45341</v>
      </c>
      <c r="L181" s="2">
        <v>0.36894675925925924</v>
      </c>
      <c r="M181" t="s">
        <v>251</v>
      </c>
      <c r="N181" t="s">
        <v>252</v>
      </c>
      <c r="O181">
        <v>1</v>
      </c>
      <c r="P181">
        <v>0</v>
      </c>
      <c r="Q181">
        <v>1</v>
      </c>
      <c r="R181">
        <v>186792</v>
      </c>
    </row>
    <row r="182" spans="1:18" x14ac:dyDescent="0.25">
      <c r="A182">
        <v>163982</v>
      </c>
      <c r="B182" t="s">
        <v>269</v>
      </c>
      <c r="C182" t="s">
        <v>13</v>
      </c>
      <c r="D182" t="s">
        <v>13</v>
      </c>
      <c r="E182">
        <v>2685</v>
      </c>
      <c r="F182" t="s">
        <v>743</v>
      </c>
      <c r="G182" t="s">
        <v>128</v>
      </c>
      <c r="H182" t="s">
        <v>298</v>
      </c>
      <c r="I182" t="s">
        <v>578</v>
      </c>
      <c r="J182">
        <v>69.900000000000006</v>
      </c>
      <c r="K182" s="1">
        <v>45341</v>
      </c>
      <c r="L182" s="2">
        <v>0.38234953703703706</v>
      </c>
      <c r="M182" t="s">
        <v>849</v>
      </c>
      <c r="N182" t="s">
        <v>252</v>
      </c>
      <c r="O182">
        <v>0</v>
      </c>
      <c r="P182">
        <v>0</v>
      </c>
      <c r="Q182">
        <v>1</v>
      </c>
      <c r="R182">
        <v>187682</v>
      </c>
    </row>
    <row r="183" spans="1:18" x14ac:dyDescent="0.25">
      <c r="A183">
        <v>193686</v>
      </c>
      <c r="B183" t="s">
        <v>12</v>
      </c>
      <c r="C183" t="s">
        <v>16</v>
      </c>
      <c r="D183" t="s">
        <v>13</v>
      </c>
      <c r="E183">
        <v>1899</v>
      </c>
      <c r="F183" t="s">
        <v>644</v>
      </c>
      <c r="G183" t="s">
        <v>156</v>
      </c>
      <c r="H183" t="s">
        <v>645</v>
      </c>
      <c r="I183" t="s">
        <v>646</v>
      </c>
      <c r="J183">
        <v>99.9</v>
      </c>
      <c r="K183" s="1">
        <v>45341</v>
      </c>
      <c r="L183" s="2">
        <v>0.37542824074074072</v>
      </c>
      <c r="M183" t="s">
        <v>610</v>
      </c>
      <c r="N183" t="s">
        <v>252</v>
      </c>
      <c r="O183">
        <v>1</v>
      </c>
      <c r="P183">
        <v>0</v>
      </c>
      <c r="Q183">
        <v>1</v>
      </c>
      <c r="R183">
        <v>189710</v>
      </c>
    </row>
    <row r="184" spans="1:18" x14ac:dyDescent="0.25">
      <c r="A184">
        <v>119044</v>
      </c>
      <c r="B184" t="s">
        <v>12</v>
      </c>
      <c r="C184" t="s">
        <v>13</v>
      </c>
      <c r="D184" t="s">
        <v>16</v>
      </c>
      <c r="E184">
        <v>1140</v>
      </c>
      <c r="F184" t="s">
        <v>737</v>
      </c>
      <c r="G184" t="s">
        <v>126</v>
      </c>
      <c r="H184" t="s">
        <v>292</v>
      </c>
      <c r="I184" t="s">
        <v>573</v>
      </c>
      <c r="J184">
        <v>169</v>
      </c>
      <c r="K184" s="1">
        <v>45341</v>
      </c>
      <c r="L184" s="2">
        <v>0.38232638888888887</v>
      </c>
      <c r="M184" t="s">
        <v>699</v>
      </c>
      <c r="N184" t="s">
        <v>252</v>
      </c>
      <c r="O184">
        <v>0</v>
      </c>
      <c r="P184">
        <v>1</v>
      </c>
      <c r="Q184">
        <v>1</v>
      </c>
      <c r="R184">
        <v>192660</v>
      </c>
    </row>
    <row r="185" spans="1:18" x14ac:dyDescent="0.25">
      <c r="A185">
        <v>165910</v>
      </c>
      <c r="B185" t="s">
        <v>256</v>
      </c>
      <c r="C185" t="s">
        <v>16</v>
      </c>
      <c r="D185" t="s">
        <v>13</v>
      </c>
      <c r="E185">
        <v>2760</v>
      </c>
      <c r="F185" t="s">
        <v>701</v>
      </c>
      <c r="G185" t="s">
        <v>175</v>
      </c>
      <c r="H185" t="s">
        <v>702</v>
      </c>
      <c r="I185" t="s">
        <v>703</v>
      </c>
      <c r="J185">
        <v>69.900000000000006</v>
      </c>
      <c r="K185" s="1">
        <v>45341</v>
      </c>
      <c r="L185" s="2">
        <v>0.38231481481481483</v>
      </c>
      <c r="M185" t="s">
        <v>699</v>
      </c>
      <c r="N185" t="s">
        <v>700</v>
      </c>
      <c r="O185">
        <v>1</v>
      </c>
      <c r="P185">
        <v>0</v>
      </c>
      <c r="Q185">
        <v>0</v>
      </c>
      <c r="R185">
        <v>192924</v>
      </c>
    </row>
    <row r="186" spans="1:18" x14ac:dyDescent="0.25">
      <c r="A186">
        <v>111957</v>
      </c>
      <c r="B186" t="s">
        <v>12</v>
      </c>
      <c r="C186" t="s">
        <v>16</v>
      </c>
      <c r="D186" t="s">
        <v>13</v>
      </c>
      <c r="E186">
        <v>2164</v>
      </c>
      <c r="F186" t="s">
        <v>674</v>
      </c>
      <c r="G186" t="s">
        <v>166</v>
      </c>
      <c r="H186" t="s">
        <v>675</v>
      </c>
      <c r="I186" t="s">
        <v>676</v>
      </c>
      <c r="J186">
        <v>89.9</v>
      </c>
      <c r="K186" s="1">
        <v>45341</v>
      </c>
      <c r="L186" s="2">
        <v>0.3755324074074074</v>
      </c>
      <c r="M186" t="s">
        <v>610</v>
      </c>
      <c r="N186" t="s">
        <v>252</v>
      </c>
      <c r="O186">
        <v>1</v>
      </c>
      <c r="P186">
        <v>0</v>
      </c>
      <c r="Q186">
        <v>1</v>
      </c>
      <c r="R186">
        <v>194544</v>
      </c>
    </row>
    <row r="187" spans="1:18" x14ac:dyDescent="0.25">
      <c r="A187">
        <v>168516</v>
      </c>
      <c r="B187" t="s">
        <v>269</v>
      </c>
      <c r="C187" t="s">
        <v>16</v>
      </c>
      <c r="D187" t="s">
        <v>13</v>
      </c>
      <c r="E187">
        <v>2168</v>
      </c>
      <c r="F187" t="s">
        <v>767</v>
      </c>
      <c r="G187" t="s">
        <v>136</v>
      </c>
      <c r="H187" t="s">
        <v>321</v>
      </c>
      <c r="I187" t="s">
        <v>480</v>
      </c>
      <c r="J187">
        <v>89.9</v>
      </c>
      <c r="K187" s="1">
        <v>45341</v>
      </c>
      <c r="L187" s="2">
        <v>0.38239583333333332</v>
      </c>
      <c r="M187" t="s">
        <v>849</v>
      </c>
      <c r="N187" t="s">
        <v>252</v>
      </c>
      <c r="O187">
        <v>1</v>
      </c>
      <c r="P187">
        <v>0</v>
      </c>
      <c r="Q187">
        <v>1</v>
      </c>
      <c r="R187">
        <v>194903</v>
      </c>
    </row>
    <row r="188" spans="1:18" x14ac:dyDescent="0.25">
      <c r="A188">
        <v>144848</v>
      </c>
      <c r="B188" t="s">
        <v>269</v>
      </c>
      <c r="C188" t="s">
        <v>13</v>
      </c>
      <c r="D188" t="s">
        <v>13</v>
      </c>
      <c r="E188">
        <v>2193</v>
      </c>
      <c r="F188" t="s">
        <v>671</v>
      </c>
      <c r="G188" t="s">
        <v>165</v>
      </c>
      <c r="H188" t="s">
        <v>672</v>
      </c>
      <c r="I188" t="s">
        <v>673</v>
      </c>
      <c r="J188">
        <v>89.9</v>
      </c>
      <c r="K188" s="1">
        <v>45341</v>
      </c>
      <c r="L188" s="2">
        <v>0.37552083333333336</v>
      </c>
      <c r="M188" t="s">
        <v>610</v>
      </c>
      <c r="N188" t="s">
        <v>252</v>
      </c>
      <c r="O188">
        <v>0</v>
      </c>
      <c r="P188">
        <v>0</v>
      </c>
      <c r="Q188">
        <v>1</v>
      </c>
      <c r="R188">
        <v>197151</v>
      </c>
    </row>
    <row r="189" spans="1:18" x14ac:dyDescent="0.25">
      <c r="A189">
        <v>148823</v>
      </c>
      <c r="B189" t="s">
        <v>12</v>
      </c>
      <c r="C189" t="s">
        <v>13</v>
      </c>
      <c r="D189" t="s">
        <v>16</v>
      </c>
      <c r="E189">
        <v>2211</v>
      </c>
      <c r="F189" t="s">
        <v>607</v>
      </c>
      <c r="G189" t="s">
        <v>144</v>
      </c>
      <c r="H189" t="s">
        <v>608</v>
      </c>
      <c r="I189" t="s">
        <v>609</v>
      </c>
      <c r="J189">
        <v>89.9</v>
      </c>
      <c r="K189" s="1">
        <v>45341</v>
      </c>
      <c r="L189" s="2">
        <v>0.37532407407407409</v>
      </c>
      <c r="M189" t="s">
        <v>610</v>
      </c>
      <c r="N189" t="s">
        <v>252</v>
      </c>
      <c r="O189">
        <v>0</v>
      </c>
      <c r="P189">
        <v>1</v>
      </c>
      <c r="Q189">
        <v>1</v>
      </c>
      <c r="R189">
        <v>198769</v>
      </c>
    </row>
    <row r="190" spans="1:18" x14ac:dyDescent="0.25">
      <c r="A190">
        <v>125408</v>
      </c>
      <c r="B190" t="s">
        <v>256</v>
      </c>
      <c r="C190" t="s">
        <v>16</v>
      </c>
      <c r="D190" t="s">
        <v>16</v>
      </c>
      <c r="E190">
        <v>2220</v>
      </c>
      <c r="F190" t="s">
        <v>466</v>
      </c>
      <c r="G190" t="s">
        <v>91</v>
      </c>
      <c r="H190" t="s">
        <v>342</v>
      </c>
      <c r="I190" t="s">
        <v>343</v>
      </c>
      <c r="J190">
        <v>89.9</v>
      </c>
      <c r="K190" s="1">
        <v>45341</v>
      </c>
      <c r="L190" s="2">
        <v>0.3687037037037037</v>
      </c>
      <c r="M190" t="s">
        <v>251</v>
      </c>
      <c r="N190" t="s">
        <v>252</v>
      </c>
      <c r="O190">
        <v>1</v>
      </c>
      <c r="P190">
        <v>1</v>
      </c>
      <c r="Q190">
        <v>1</v>
      </c>
      <c r="R190">
        <v>199578</v>
      </c>
    </row>
    <row r="191" spans="1:18" x14ac:dyDescent="0.25">
      <c r="A191">
        <v>140028</v>
      </c>
      <c r="B191" t="s">
        <v>12</v>
      </c>
      <c r="C191" t="s">
        <v>16</v>
      </c>
      <c r="D191" t="s">
        <v>16</v>
      </c>
      <c r="E191">
        <v>1260</v>
      </c>
      <c r="F191" t="s">
        <v>285</v>
      </c>
      <c r="G191" t="s">
        <v>26</v>
      </c>
      <c r="H191" t="s">
        <v>286</v>
      </c>
      <c r="I191" t="s">
        <v>287</v>
      </c>
      <c r="J191">
        <v>159</v>
      </c>
      <c r="K191" s="1">
        <v>45341</v>
      </c>
      <c r="L191" s="2">
        <v>0.36819444444444444</v>
      </c>
      <c r="M191" t="s">
        <v>251</v>
      </c>
      <c r="N191" t="s">
        <v>252</v>
      </c>
      <c r="O191">
        <v>1</v>
      </c>
      <c r="P191">
        <v>1</v>
      </c>
      <c r="Q191">
        <v>1</v>
      </c>
      <c r="R191">
        <v>200340</v>
      </c>
    </row>
    <row r="192" spans="1:18" x14ac:dyDescent="0.25">
      <c r="A192">
        <v>185800</v>
      </c>
      <c r="B192" t="s">
        <v>256</v>
      </c>
      <c r="C192" t="s">
        <v>13</v>
      </c>
      <c r="D192" t="s">
        <v>16</v>
      </c>
      <c r="E192">
        <v>1841</v>
      </c>
      <c r="F192" t="s">
        <v>602</v>
      </c>
      <c r="G192" t="s">
        <v>142</v>
      </c>
      <c r="H192" t="s">
        <v>603</v>
      </c>
      <c r="I192" t="s">
        <v>604</v>
      </c>
      <c r="J192">
        <v>109</v>
      </c>
      <c r="K192" s="1">
        <v>45341</v>
      </c>
      <c r="L192" s="2">
        <v>0.3692361111111111</v>
      </c>
      <c r="M192" t="s">
        <v>251</v>
      </c>
      <c r="N192" t="s">
        <v>252</v>
      </c>
      <c r="O192">
        <v>0</v>
      </c>
      <c r="P192">
        <v>1</v>
      </c>
      <c r="Q192">
        <v>1</v>
      </c>
      <c r="R192">
        <v>200669</v>
      </c>
    </row>
    <row r="193" spans="1:18" x14ac:dyDescent="0.25">
      <c r="A193">
        <v>112917</v>
      </c>
      <c r="B193" t="s">
        <v>12</v>
      </c>
      <c r="C193" t="s">
        <v>16</v>
      </c>
      <c r="D193" t="s">
        <v>16</v>
      </c>
      <c r="E193">
        <v>1568</v>
      </c>
      <c r="F193" t="s">
        <v>260</v>
      </c>
      <c r="G193" t="s">
        <v>18</v>
      </c>
      <c r="H193" t="s">
        <v>261</v>
      </c>
      <c r="I193" t="s">
        <v>262</v>
      </c>
      <c r="J193">
        <v>129</v>
      </c>
      <c r="K193" s="1">
        <v>45341</v>
      </c>
      <c r="L193" s="2">
        <v>0.36813657407407407</v>
      </c>
      <c r="M193" t="s">
        <v>251</v>
      </c>
      <c r="N193" t="s">
        <v>252</v>
      </c>
      <c r="O193">
        <v>1</v>
      </c>
      <c r="P193">
        <v>1</v>
      </c>
      <c r="Q193">
        <v>1</v>
      </c>
      <c r="R193">
        <v>202272</v>
      </c>
    </row>
    <row r="194" spans="1:18" x14ac:dyDescent="0.25">
      <c r="A194">
        <v>134429</v>
      </c>
      <c r="B194" t="s">
        <v>12</v>
      </c>
      <c r="C194" t="s">
        <v>13</v>
      </c>
      <c r="D194" t="s">
        <v>13</v>
      </c>
      <c r="E194">
        <v>2914</v>
      </c>
      <c r="F194" t="s">
        <v>828</v>
      </c>
      <c r="G194" t="s">
        <v>218</v>
      </c>
      <c r="H194" t="s">
        <v>829</v>
      </c>
      <c r="I194" t="s">
        <v>830</v>
      </c>
      <c r="J194">
        <v>69.900000000000006</v>
      </c>
      <c r="K194" s="1">
        <v>45341</v>
      </c>
      <c r="L194" s="2">
        <v>0.37130787037037039</v>
      </c>
      <c r="M194" t="s">
        <v>811</v>
      </c>
      <c r="N194" t="s">
        <v>252</v>
      </c>
      <c r="O194">
        <v>0</v>
      </c>
      <c r="P194">
        <v>0</v>
      </c>
      <c r="Q194">
        <v>1</v>
      </c>
      <c r="R194">
        <v>203689</v>
      </c>
    </row>
    <row r="195" spans="1:18" x14ac:dyDescent="0.25">
      <c r="A195">
        <v>174171</v>
      </c>
      <c r="B195" t="s">
        <v>269</v>
      </c>
      <c r="C195" t="s">
        <v>16</v>
      </c>
      <c r="D195" t="s">
        <v>16</v>
      </c>
      <c r="E195">
        <v>2273</v>
      </c>
      <c r="F195" t="s">
        <v>481</v>
      </c>
      <c r="G195" t="s">
        <v>97</v>
      </c>
      <c r="H195" t="s">
        <v>482</v>
      </c>
      <c r="I195" t="s">
        <v>483</v>
      </c>
      <c r="J195">
        <v>89.9</v>
      </c>
      <c r="K195" s="1">
        <v>45341</v>
      </c>
      <c r="L195" s="2">
        <v>0.36873842592592593</v>
      </c>
      <c r="M195" t="s">
        <v>251</v>
      </c>
      <c r="N195" t="s">
        <v>252</v>
      </c>
      <c r="O195">
        <v>1</v>
      </c>
      <c r="P195">
        <v>1</v>
      </c>
      <c r="Q195">
        <v>1</v>
      </c>
      <c r="R195">
        <v>204343</v>
      </c>
    </row>
    <row r="196" spans="1:18" x14ac:dyDescent="0.25">
      <c r="A196">
        <v>127314</v>
      </c>
      <c r="B196" t="s">
        <v>256</v>
      </c>
      <c r="C196" t="s">
        <v>16</v>
      </c>
      <c r="D196" t="s">
        <v>16</v>
      </c>
      <c r="E196">
        <v>2076</v>
      </c>
      <c r="F196" t="s">
        <v>662</v>
      </c>
      <c r="G196" t="s">
        <v>162</v>
      </c>
      <c r="H196" t="s">
        <v>663</v>
      </c>
      <c r="I196" t="s">
        <v>664</v>
      </c>
      <c r="J196">
        <v>99.9</v>
      </c>
      <c r="K196" s="1">
        <v>45341</v>
      </c>
      <c r="L196" s="2">
        <v>0.37549768518518517</v>
      </c>
      <c r="M196" t="s">
        <v>610</v>
      </c>
      <c r="N196" t="s">
        <v>252</v>
      </c>
      <c r="O196">
        <v>1</v>
      </c>
      <c r="P196">
        <v>1</v>
      </c>
      <c r="Q196">
        <v>1</v>
      </c>
      <c r="R196">
        <v>207392</v>
      </c>
    </row>
    <row r="197" spans="1:18" x14ac:dyDescent="0.25">
      <c r="A197">
        <v>120228</v>
      </c>
      <c r="B197" t="s">
        <v>256</v>
      </c>
      <c r="C197" t="s">
        <v>13</v>
      </c>
      <c r="D197" t="s">
        <v>13</v>
      </c>
      <c r="E197">
        <v>2347</v>
      </c>
      <c r="F197" t="s">
        <v>520</v>
      </c>
      <c r="G197" t="s">
        <v>111</v>
      </c>
      <c r="H197" t="s">
        <v>280</v>
      </c>
      <c r="I197" t="s">
        <v>521</v>
      </c>
      <c r="J197">
        <v>89.9</v>
      </c>
      <c r="K197" s="1">
        <v>45341</v>
      </c>
      <c r="L197" s="2">
        <v>0.36885416666666665</v>
      </c>
      <c r="M197" t="s">
        <v>251</v>
      </c>
      <c r="N197" t="s">
        <v>252</v>
      </c>
      <c r="O197">
        <v>0</v>
      </c>
      <c r="P197">
        <v>0</v>
      </c>
      <c r="Q197">
        <v>1</v>
      </c>
      <c r="R197">
        <v>210995</v>
      </c>
    </row>
    <row r="198" spans="1:18" x14ac:dyDescent="0.25">
      <c r="A198">
        <v>173508</v>
      </c>
      <c r="B198" t="s">
        <v>12</v>
      </c>
      <c r="C198" t="s">
        <v>16</v>
      </c>
      <c r="D198" t="s">
        <v>13</v>
      </c>
      <c r="E198">
        <v>1658</v>
      </c>
      <c r="F198" t="s">
        <v>410</v>
      </c>
      <c r="G198" t="s">
        <v>71</v>
      </c>
      <c r="H198" t="s">
        <v>411</v>
      </c>
      <c r="I198" t="s">
        <v>412</v>
      </c>
      <c r="J198">
        <v>129</v>
      </c>
      <c r="K198" s="1">
        <v>45341</v>
      </c>
      <c r="L198" s="2">
        <v>0.36853009259259262</v>
      </c>
      <c r="M198" t="s">
        <v>251</v>
      </c>
      <c r="N198" t="s">
        <v>252</v>
      </c>
      <c r="O198">
        <v>1</v>
      </c>
      <c r="P198">
        <v>0</v>
      </c>
      <c r="Q198">
        <v>1</v>
      </c>
      <c r="R198">
        <v>213882</v>
      </c>
    </row>
    <row r="199" spans="1:18" x14ac:dyDescent="0.25">
      <c r="A199">
        <v>163610</v>
      </c>
      <c r="B199" t="s">
        <v>269</v>
      </c>
      <c r="C199" t="s">
        <v>16</v>
      </c>
      <c r="D199" t="s">
        <v>13</v>
      </c>
      <c r="E199">
        <v>2466</v>
      </c>
      <c r="F199" t="s">
        <v>647</v>
      </c>
      <c r="G199" t="s">
        <v>157</v>
      </c>
      <c r="H199" t="s">
        <v>648</v>
      </c>
      <c r="I199" t="s">
        <v>649</v>
      </c>
      <c r="J199">
        <v>89.9</v>
      </c>
      <c r="K199" s="1">
        <v>45341</v>
      </c>
      <c r="L199" s="2">
        <v>0.37543981481481481</v>
      </c>
      <c r="M199" t="s">
        <v>610</v>
      </c>
      <c r="N199" t="s">
        <v>252</v>
      </c>
      <c r="O199">
        <v>1</v>
      </c>
      <c r="P199">
        <v>0</v>
      </c>
      <c r="Q199">
        <v>1</v>
      </c>
      <c r="R199">
        <v>221693</v>
      </c>
    </row>
    <row r="200" spans="1:18" x14ac:dyDescent="0.25">
      <c r="A200">
        <v>152174</v>
      </c>
      <c r="B200" t="s">
        <v>256</v>
      </c>
      <c r="C200" t="s">
        <v>13</v>
      </c>
      <c r="D200" t="s">
        <v>13</v>
      </c>
      <c r="E200">
        <v>2226</v>
      </c>
      <c r="F200" t="s">
        <v>297</v>
      </c>
      <c r="G200" t="s">
        <v>30</v>
      </c>
      <c r="H200" t="s">
        <v>298</v>
      </c>
      <c r="I200" t="s">
        <v>299</v>
      </c>
      <c r="J200">
        <v>99.9</v>
      </c>
      <c r="K200" s="1">
        <v>45341</v>
      </c>
      <c r="L200" s="2">
        <v>0.36821759259259257</v>
      </c>
      <c r="M200" t="s">
        <v>251</v>
      </c>
      <c r="N200" t="s">
        <v>252</v>
      </c>
      <c r="O200">
        <v>0</v>
      </c>
      <c r="P200">
        <v>0</v>
      </c>
      <c r="Q200">
        <v>1</v>
      </c>
      <c r="R200">
        <v>222377</v>
      </c>
    </row>
    <row r="201" spans="1:18" x14ac:dyDescent="0.25">
      <c r="A201">
        <v>154224</v>
      </c>
      <c r="B201" t="s">
        <v>256</v>
      </c>
      <c r="C201" t="s">
        <v>16</v>
      </c>
      <c r="D201" t="s">
        <v>13</v>
      </c>
      <c r="E201">
        <v>2474</v>
      </c>
      <c r="F201" t="s">
        <v>556</v>
      </c>
      <c r="G201" t="s">
        <v>125</v>
      </c>
      <c r="H201" t="s">
        <v>557</v>
      </c>
      <c r="I201" t="s">
        <v>558</v>
      </c>
      <c r="J201">
        <v>89.9</v>
      </c>
      <c r="K201" s="1">
        <v>45341</v>
      </c>
      <c r="L201" s="2">
        <v>0.36914351851851851</v>
      </c>
      <c r="M201" t="s">
        <v>251</v>
      </c>
      <c r="N201" t="s">
        <v>252</v>
      </c>
      <c r="O201">
        <v>1</v>
      </c>
      <c r="P201">
        <v>0</v>
      </c>
      <c r="Q201">
        <v>1</v>
      </c>
      <c r="R201">
        <v>222413</v>
      </c>
    </row>
    <row r="202" spans="1:18" x14ac:dyDescent="0.25">
      <c r="A202">
        <v>132889</v>
      </c>
      <c r="B202" t="s">
        <v>12</v>
      </c>
      <c r="C202" t="s">
        <v>16</v>
      </c>
      <c r="D202" t="s">
        <v>16</v>
      </c>
      <c r="E202">
        <v>2265</v>
      </c>
      <c r="F202" t="s">
        <v>294</v>
      </c>
      <c r="G202" t="s">
        <v>29</v>
      </c>
      <c r="H202" t="s">
        <v>295</v>
      </c>
      <c r="I202" t="s">
        <v>296</v>
      </c>
      <c r="J202">
        <v>99.9</v>
      </c>
      <c r="K202" s="1">
        <v>45341</v>
      </c>
      <c r="L202" s="2">
        <v>0.36821759259259257</v>
      </c>
      <c r="M202" t="s">
        <v>251</v>
      </c>
      <c r="N202" t="s">
        <v>252</v>
      </c>
      <c r="O202">
        <v>1</v>
      </c>
      <c r="P202">
        <v>1</v>
      </c>
      <c r="Q202">
        <v>1</v>
      </c>
      <c r="R202">
        <v>226274</v>
      </c>
    </row>
    <row r="203" spans="1:18" x14ac:dyDescent="0.25">
      <c r="A203">
        <v>166421</v>
      </c>
      <c r="B203" t="s">
        <v>256</v>
      </c>
      <c r="C203" t="s">
        <v>16</v>
      </c>
      <c r="D203" t="s">
        <v>13</v>
      </c>
      <c r="E203">
        <v>2878</v>
      </c>
      <c r="F203" t="s">
        <v>656</v>
      </c>
      <c r="G203" t="s">
        <v>160</v>
      </c>
      <c r="H203" t="s">
        <v>657</v>
      </c>
      <c r="I203" t="s">
        <v>658</v>
      </c>
      <c r="J203">
        <v>79.900000000000006</v>
      </c>
      <c r="K203" s="1">
        <v>45341</v>
      </c>
      <c r="L203" s="2">
        <v>0.37547453703703704</v>
      </c>
      <c r="M203" t="s">
        <v>610</v>
      </c>
      <c r="N203" t="s">
        <v>252</v>
      </c>
      <c r="O203">
        <v>1</v>
      </c>
      <c r="P203">
        <v>0</v>
      </c>
      <c r="Q203">
        <v>1</v>
      </c>
      <c r="R203">
        <v>229952</v>
      </c>
    </row>
    <row r="204" spans="1:18" x14ac:dyDescent="0.25">
      <c r="A204">
        <v>143231</v>
      </c>
      <c r="B204" t="s">
        <v>12</v>
      </c>
      <c r="C204" t="s">
        <v>13</v>
      </c>
      <c r="D204" t="s">
        <v>13</v>
      </c>
      <c r="E204">
        <v>2578</v>
      </c>
      <c r="F204" t="s">
        <v>470</v>
      </c>
      <c r="G204" t="s">
        <v>93</v>
      </c>
      <c r="H204" t="s">
        <v>461</v>
      </c>
      <c r="I204" t="s">
        <v>471</v>
      </c>
      <c r="J204">
        <v>89.9</v>
      </c>
      <c r="K204" s="1">
        <v>45341</v>
      </c>
      <c r="L204" s="2">
        <v>0.36872685185185183</v>
      </c>
      <c r="M204" t="s">
        <v>251</v>
      </c>
      <c r="N204" t="s">
        <v>252</v>
      </c>
      <c r="O204">
        <v>0</v>
      </c>
      <c r="P204">
        <v>0</v>
      </c>
      <c r="Q204">
        <v>1</v>
      </c>
      <c r="R204">
        <v>231762</v>
      </c>
    </row>
    <row r="205" spans="1:18" x14ac:dyDescent="0.25">
      <c r="A205">
        <v>196427</v>
      </c>
      <c r="B205" t="s">
        <v>12</v>
      </c>
      <c r="C205" t="s">
        <v>16</v>
      </c>
      <c r="D205" t="s">
        <v>13</v>
      </c>
      <c r="E205">
        <v>1401</v>
      </c>
      <c r="F205" t="s">
        <v>533</v>
      </c>
      <c r="G205" t="s">
        <v>117</v>
      </c>
      <c r="H205" t="s">
        <v>534</v>
      </c>
      <c r="I205" t="s">
        <v>535</v>
      </c>
      <c r="J205">
        <v>169</v>
      </c>
      <c r="K205" s="1">
        <v>45341</v>
      </c>
      <c r="L205" s="2">
        <v>0.36894675925925924</v>
      </c>
      <c r="M205" t="s">
        <v>251</v>
      </c>
      <c r="N205" t="s">
        <v>252</v>
      </c>
      <c r="O205">
        <v>1</v>
      </c>
      <c r="P205">
        <v>0</v>
      </c>
      <c r="Q205">
        <v>1</v>
      </c>
      <c r="R205">
        <v>236769</v>
      </c>
    </row>
    <row r="206" spans="1:18" x14ac:dyDescent="0.25">
      <c r="A206">
        <v>117590</v>
      </c>
      <c r="B206" t="s">
        <v>256</v>
      </c>
      <c r="C206" t="s">
        <v>13</v>
      </c>
      <c r="D206" t="s">
        <v>13</v>
      </c>
      <c r="E206">
        <v>2968</v>
      </c>
      <c r="F206" t="s">
        <v>266</v>
      </c>
      <c r="G206" t="s">
        <v>20</v>
      </c>
      <c r="H206" t="s">
        <v>267</v>
      </c>
      <c r="I206" t="s">
        <v>268</v>
      </c>
      <c r="J206">
        <v>79.900000000000006</v>
      </c>
      <c r="K206" s="1">
        <v>45341</v>
      </c>
      <c r="L206" s="2">
        <v>0.36815972222222221</v>
      </c>
      <c r="M206" t="s">
        <v>251</v>
      </c>
      <c r="N206" t="s">
        <v>252</v>
      </c>
      <c r="O206">
        <v>0</v>
      </c>
      <c r="P206">
        <v>0</v>
      </c>
      <c r="Q206">
        <v>1</v>
      </c>
      <c r="R206">
        <v>237143</v>
      </c>
    </row>
    <row r="207" spans="1:18" x14ac:dyDescent="0.25">
      <c r="A207">
        <v>112194</v>
      </c>
      <c r="B207" t="s">
        <v>12</v>
      </c>
      <c r="C207" t="s">
        <v>16</v>
      </c>
      <c r="D207" t="s">
        <v>16</v>
      </c>
      <c r="E207">
        <v>2187</v>
      </c>
      <c r="F207" t="s">
        <v>779</v>
      </c>
      <c r="G207" t="s">
        <v>140</v>
      </c>
      <c r="H207" t="s">
        <v>333</v>
      </c>
      <c r="I207" t="s">
        <v>331</v>
      </c>
      <c r="J207">
        <v>109</v>
      </c>
      <c r="K207" s="1">
        <v>45341</v>
      </c>
      <c r="L207" s="2">
        <v>0.38243055555555555</v>
      </c>
      <c r="M207" t="s">
        <v>251</v>
      </c>
      <c r="N207" t="s">
        <v>252</v>
      </c>
      <c r="O207">
        <v>1</v>
      </c>
      <c r="P207">
        <v>1</v>
      </c>
      <c r="Q207">
        <v>1</v>
      </c>
      <c r="R207">
        <v>238383</v>
      </c>
    </row>
    <row r="208" spans="1:18" x14ac:dyDescent="0.25">
      <c r="A208">
        <v>133100</v>
      </c>
      <c r="B208" t="s">
        <v>256</v>
      </c>
      <c r="C208" t="s">
        <v>16</v>
      </c>
      <c r="D208" t="s">
        <v>13</v>
      </c>
      <c r="E208">
        <v>2729</v>
      </c>
      <c r="F208" t="s">
        <v>390</v>
      </c>
      <c r="G208" t="s">
        <v>64</v>
      </c>
      <c r="H208" t="s">
        <v>391</v>
      </c>
      <c r="I208" t="s">
        <v>392</v>
      </c>
      <c r="J208">
        <v>89.9</v>
      </c>
      <c r="K208" s="1">
        <v>45341</v>
      </c>
      <c r="L208" s="2">
        <v>0.3684837962962963</v>
      </c>
      <c r="M208" t="s">
        <v>251</v>
      </c>
      <c r="N208" t="s">
        <v>252</v>
      </c>
      <c r="O208">
        <v>1</v>
      </c>
      <c r="P208">
        <v>0</v>
      </c>
      <c r="Q208">
        <v>1</v>
      </c>
      <c r="R208">
        <v>245337</v>
      </c>
    </row>
    <row r="209" spans="1:18" x14ac:dyDescent="0.25">
      <c r="A209">
        <v>162699</v>
      </c>
      <c r="B209" t="s">
        <v>256</v>
      </c>
      <c r="C209" t="s">
        <v>13</v>
      </c>
      <c r="D209" t="s">
        <v>16</v>
      </c>
      <c r="E209">
        <v>2732</v>
      </c>
      <c r="F209" t="s">
        <v>734</v>
      </c>
      <c r="G209" t="s">
        <v>125</v>
      </c>
      <c r="H209" t="s">
        <v>289</v>
      </c>
      <c r="I209" t="s">
        <v>712</v>
      </c>
      <c r="J209">
        <v>89.9</v>
      </c>
      <c r="K209" s="1">
        <v>45341</v>
      </c>
      <c r="L209" s="2">
        <v>0.38232638888888887</v>
      </c>
      <c r="M209" t="s">
        <v>699</v>
      </c>
      <c r="N209" t="s">
        <v>252</v>
      </c>
      <c r="O209">
        <v>0</v>
      </c>
      <c r="P209">
        <v>1</v>
      </c>
      <c r="Q209">
        <v>1</v>
      </c>
      <c r="R209">
        <v>245607</v>
      </c>
    </row>
    <row r="210" spans="1:18" x14ac:dyDescent="0.25">
      <c r="A210">
        <v>117751</v>
      </c>
      <c r="B210" t="s">
        <v>12</v>
      </c>
      <c r="C210" t="s">
        <v>13</v>
      </c>
      <c r="D210" t="s">
        <v>13</v>
      </c>
      <c r="E210">
        <v>2749</v>
      </c>
      <c r="F210" t="s">
        <v>445</v>
      </c>
      <c r="G210" t="s">
        <v>83</v>
      </c>
      <c r="H210" t="s">
        <v>446</v>
      </c>
      <c r="I210" t="s">
        <v>447</v>
      </c>
      <c r="J210">
        <v>89.9</v>
      </c>
      <c r="K210" s="1">
        <v>45341</v>
      </c>
      <c r="L210" s="2">
        <v>0.36864583333333334</v>
      </c>
      <c r="M210" t="s">
        <v>251</v>
      </c>
      <c r="N210" t="s">
        <v>252</v>
      </c>
      <c r="O210">
        <v>0</v>
      </c>
      <c r="P210">
        <v>0</v>
      </c>
      <c r="Q210">
        <v>1</v>
      </c>
      <c r="R210">
        <v>247135</v>
      </c>
    </row>
    <row r="211" spans="1:18" x14ac:dyDescent="0.25">
      <c r="A211">
        <v>154278</v>
      </c>
      <c r="B211" t="s">
        <v>256</v>
      </c>
      <c r="C211" t="s">
        <v>13</v>
      </c>
      <c r="D211" t="s">
        <v>16</v>
      </c>
      <c r="E211">
        <v>2749</v>
      </c>
      <c r="F211" t="s">
        <v>584</v>
      </c>
      <c r="G211" t="s">
        <v>136</v>
      </c>
      <c r="H211" t="s">
        <v>585</v>
      </c>
      <c r="I211" t="s">
        <v>586</v>
      </c>
      <c r="J211">
        <v>89.9</v>
      </c>
      <c r="K211" s="1">
        <v>45341</v>
      </c>
      <c r="L211" s="2">
        <v>0.36920138888888887</v>
      </c>
      <c r="M211" t="s">
        <v>251</v>
      </c>
      <c r="N211" t="s">
        <v>252</v>
      </c>
      <c r="O211">
        <v>0</v>
      </c>
      <c r="P211">
        <v>1</v>
      </c>
      <c r="Q211">
        <v>1</v>
      </c>
      <c r="R211">
        <v>247135</v>
      </c>
    </row>
    <row r="212" spans="1:18" x14ac:dyDescent="0.25">
      <c r="A212">
        <v>144651</v>
      </c>
      <c r="B212" t="s">
        <v>12</v>
      </c>
      <c r="C212" t="s">
        <v>16</v>
      </c>
      <c r="D212" t="s">
        <v>13</v>
      </c>
      <c r="E212">
        <v>1791</v>
      </c>
      <c r="F212" t="s">
        <v>749</v>
      </c>
      <c r="G212" t="s">
        <v>130</v>
      </c>
      <c r="H212" t="s">
        <v>304</v>
      </c>
      <c r="I212" t="s">
        <v>583</v>
      </c>
      <c r="J212">
        <v>139</v>
      </c>
      <c r="K212" s="1">
        <v>45341</v>
      </c>
      <c r="L212" s="2">
        <v>0.3823611111111111</v>
      </c>
      <c r="M212" t="s">
        <v>849</v>
      </c>
      <c r="N212" t="s">
        <v>252</v>
      </c>
      <c r="O212">
        <v>1</v>
      </c>
      <c r="P212">
        <v>0</v>
      </c>
      <c r="Q212">
        <v>1</v>
      </c>
      <c r="R212">
        <v>248949</v>
      </c>
    </row>
    <row r="213" spans="1:18" x14ac:dyDescent="0.25">
      <c r="A213">
        <v>183074</v>
      </c>
      <c r="B213" t="s">
        <v>12</v>
      </c>
      <c r="C213" t="s">
        <v>13</v>
      </c>
      <c r="D213" t="s">
        <v>13</v>
      </c>
      <c r="E213">
        <v>2791</v>
      </c>
      <c r="F213" t="s">
        <v>475</v>
      </c>
      <c r="G213" t="s">
        <v>95</v>
      </c>
      <c r="H213" t="s">
        <v>476</v>
      </c>
      <c r="I213" t="s">
        <v>477</v>
      </c>
      <c r="J213">
        <v>89.9</v>
      </c>
      <c r="K213" s="1">
        <v>45341</v>
      </c>
      <c r="L213" s="2">
        <v>0.36873842592592593</v>
      </c>
      <c r="M213" t="s">
        <v>251</v>
      </c>
      <c r="N213" t="s">
        <v>252</v>
      </c>
      <c r="O213">
        <v>0</v>
      </c>
      <c r="P213">
        <v>0</v>
      </c>
      <c r="Q213">
        <v>1</v>
      </c>
      <c r="R213">
        <v>250911</v>
      </c>
    </row>
    <row r="214" spans="1:18" x14ac:dyDescent="0.25">
      <c r="A214">
        <v>182306</v>
      </c>
      <c r="B214" t="s">
        <v>269</v>
      </c>
      <c r="C214" t="s">
        <v>13</v>
      </c>
      <c r="D214" t="s">
        <v>13</v>
      </c>
      <c r="E214">
        <v>2805</v>
      </c>
      <c r="F214" t="s">
        <v>545</v>
      </c>
      <c r="G214" t="s">
        <v>121</v>
      </c>
      <c r="H214" t="s">
        <v>546</v>
      </c>
      <c r="I214" t="s">
        <v>547</v>
      </c>
      <c r="J214">
        <v>89.9</v>
      </c>
      <c r="K214" s="1">
        <v>45341</v>
      </c>
      <c r="L214" s="2">
        <v>0.36912037037037038</v>
      </c>
      <c r="M214" t="s">
        <v>251</v>
      </c>
      <c r="N214" t="s">
        <v>252</v>
      </c>
      <c r="O214">
        <v>0</v>
      </c>
      <c r="P214">
        <v>0</v>
      </c>
      <c r="Q214">
        <v>1</v>
      </c>
      <c r="R214">
        <v>252170</v>
      </c>
    </row>
    <row r="215" spans="1:18" x14ac:dyDescent="0.25">
      <c r="A215">
        <v>147051</v>
      </c>
      <c r="B215" t="s">
        <v>269</v>
      </c>
      <c r="C215" t="s">
        <v>13</v>
      </c>
      <c r="D215" t="s">
        <v>13</v>
      </c>
      <c r="E215">
        <v>2325</v>
      </c>
      <c r="F215" t="s">
        <v>599</v>
      </c>
      <c r="G215" t="s">
        <v>141</v>
      </c>
      <c r="H215" t="s">
        <v>600</v>
      </c>
      <c r="I215" t="s">
        <v>601</v>
      </c>
      <c r="J215">
        <v>109</v>
      </c>
      <c r="K215" s="1">
        <v>45341</v>
      </c>
      <c r="L215" s="2">
        <v>0.3692361111111111</v>
      </c>
      <c r="M215" t="s">
        <v>251</v>
      </c>
      <c r="N215" t="s">
        <v>252</v>
      </c>
      <c r="O215">
        <v>0</v>
      </c>
      <c r="P215">
        <v>0</v>
      </c>
      <c r="Q215">
        <v>1</v>
      </c>
      <c r="R215">
        <v>253425</v>
      </c>
    </row>
    <row r="216" spans="1:18" x14ac:dyDescent="0.25">
      <c r="A216">
        <v>111521</v>
      </c>
      <c r="B216" t="s">
        <v>269</v>
      </c>
      <c r="C216" t="s">
        <v>16</v>
      </c>
      <c r="D216" t="s">
        <v>16</v>
      </c>
      <c r="E216">
        <v>2553</v>
      </c>
      <c r="F216" t="s">
        <v>517</v>
      </c>
      <c r="G216" t="s">
        <v>110</v>
      </c>
      <c r="H216" t="s">
        <v>518</v>
      </c>
      <c r="I216" t="s">
        <v>519</v>
      </c>
      <c r="J216">
        <v>99.9</v>
      </c>
      <c r="K216" s="1">
        <v>45341</v>
      </c>
      <c r="L216" s="2">
        <v>0.36884259259259261</v>
      </c>
      <c r="M216" t="s">
        <v>251</v>
      </c>
      <c r="N216" t="s">
        <v>252</v>
      </c>
      <c r="O216">
        <v>1</v>
      </c>
      <c r="P216">
        <v>1</v>
      </c>
      <c r="Q216">
        <v>1</v>
      </c>
      <c r="R216">
        <v>255045</v>
      </c>
    </row>
    <row r="217" spans="1:18" x14ac:dyDescent="0.25">
      <c r="A217">
        <v>133183</v>
      </c>
      <c r="B217" t="s">
        <v>269</v>
      </c>
      <c r="C217" t="s">
        <v>16</v>
      </c>
      <c r="D217" t="s">
        <v>16</v>
      </c>
      <c r="E217">
        <v>2859</v>
      </c>
      <c r="F217" t="s">
        <v>407</v>
      </c>
      <c r="G217" t="s">
        <v>70</v>
      </c>
      <c r="H217" t="s">
        <v>408</v>
      </c>
      <c r="I217" t="s">
        <v>409</v>
      </c>
      <c r="J217">
        <v>89.9</v>
      </c>
      <c r="K217" s="1">
        <v>45341</v>
      </c>
      <c r="L217" s="2">
        <v>0.36851851851851852</v>
      </c>
      <c r="M217" t="s">
        <v>251</v>
      </c>
      <c r="N217" t="s">
        <v>252</v>
      </c>
      <c r="O217">
        <v>1</v>
      </c>
      <c r="P217">
        <v>1</v>
      </c>
      <c r="Q217">
        <v>1</v>
      </c>
      <c r="R217">
        <v>257024</v>
      </c>
    </row>
    <row r="218" spans="1:18" x14ac:dyDescent="0.25">
      <c r="A218">
        <v>183243</v>
      </c>
      <c r="B218" t="s">
        <v>269</v>
      </c>
      <c r="C218" t="s">
        <v>16</v>
      </c>
      <c r="D218" t="s">
        <v>13</v>
      </c>
      <c r="E218">
        <v>1524</v>
      </c>
      <c r="F218" t="s">
        <v>323</v>
      </c>
      <c r="G218" t="s">
        <v>39</v>
      </c>
      <c r="H218" t="s">
        <v>324</v>
      </c>
      <c r="I218" t="s">
        <v>325</v>
      </c>
      <c r="J218">
        <v>169</v>
      </c>
      <c r="K218" s="1">
        <v>45341</v>
      </c>
      <c r="L218" s="2">
        <v>0.36827546296296299</v>
      </c>
      <c r="M218" t="s">
        <v>251</v>
      </c>
      <c r="N218" t="s">
        <v>252</v>
      </c>
      <c r="O218">
        <v>1</v>
      </c>
      <c r="P218">
        <v>0</v>
      </c>
      <c r="Q218">
        <v>1</v>
      </c>
      <c r="R218">
        <v>257556</v>
      </c>
    </row>
    <row r="219" spans="1:18" x14ac:dyDescent="0.25">
      <c r="A219">
        <v>126806</v>
      </c>
      <c r="B219" t="s">
        <v>256</v>
      </c>
      <c r="C219" t="s">
        <v>16</v>
      </c>
      <c r="D219" t="s">
        <v>16</v>
      </c>
      <c r="E219">
        <v>2404</v>
      </c>
      <c r="F219" t="s">
        <v>572</v>
      </c>
      <c r="G219" t="s">
        <v>131</v>
      </c>
      <c r="H219" t="s">
        <v>485</v>
      </c>
      <c r="I219" t="s">
        <v>573</v>
      </c>
      <c r="J219">
        <v>109</v>
      </c>
      <c r="K219" s="1">
        <v>45341</v>
      </c>
      <c r="L219" s="2">
        <v>0.36917824074074074</v>
      </c>
      <c r="M219" t="s">
        <v>251</v>
      </c>
      <c r="N219" t="s">
        <v>252</v>
      </c>
      <c r="O219">
        <v>1</v>
      </c>
      <c r="P219">
        <v>1</v>
      </c>
      <c r="Q219">
        <v>1</v>
      </c>
      <c r="R219">
        <v>262036</v>
      </c>
    </row>
    <row r="220" spans="1:18" x14ac:dyDescent="0.25">
      <c r="A220">
        <v>133757</v>
      </c>
      <c r="B220" t="s">
        <v>12</v>
      </c>
      <c r="C220" t="s">
        <v>16</v>
      </c>
      <c r="D220" t="s">
        <v>13</v>
      </c>
      <c r="E220">
        <v>2071</v>
      </c>
      <c r="F220" t="s">
        <v>372</v>
      </c>
      <c r="G220" t="s">
        <v>57</v>
      </c>
      <c r="H220" t="s">
        <v>373</v>
      </c>
      <c r="I220" t="s">
        <v>374</v>
      </c>
      <c r="J220">
        <v>129</v>
      </c>
      <c r="K220" s="1">
        <v>45341</v>
      </c>
      <c r="L220" s="2">
        <v>0.36842592592592593</v>
      </c>
      <c r="M220" t="s">
        <v>251</v>
      </c>
      <c r="N220" t="s">
        <v>252</v>
      </c>
      <c r="O220">
        <v>1</v>
      </c>
      <c r="P220">
        <v>0</v>
      </c>
      <c r="Q220">
        <v>1</v>
      </c>
      <c r="R220">
        <v>267159</v>
      </c>
    </row>
    <row r="221" spans="1:18" x14ac:dyDescent="0.25">
      <c r="A221">
        <v>123150</v>
      </c>
      <c r="B221" t="s">
        <v>256</v>
      </c>
      <c r="C221" t="s">
        <v>16</v>
      </c>
      <c r="D221" t="s">
        <v>13</v>
      </c>
      <c r="E221">
        <v>2074</v>
      </c>
      <c r="F221" t="s">
        <v>346</v>
      </c>
      <c r="G221" t="s">
        <v>47</v>
      </c>
      <c r="H221" t="s">
        <v>347</v>
      </c>
      <c r="I221" t="s">
        <v>348</v>
      </c>
      <c r="J221">
        <v>129</v>
      </c>
      <c r="K221" s="1">
        <v>45341</v>
      </c>
      <c r="L221" s="2">
        <v>0.36833333333333335</v>
      </c>
      <c r="M221" t="s">
        <v>251</v>
      </c>
      <c r="N221" t="s">
        <v>252</v>
      </c>
      <c r="O221">
        <v>1</v>
      </c>
      <c r="P221">
        <v>0</v>
      </c>
      <c r="Q221">
        <v>1</v>
      </c>
      <c r="R221">
        <v>267546</v>
      </c>
    </row>
    <row r="222" spans="1:18" x14ac:dyDescent="0.25">
      <c r="A222">
        <v>159145</v>
      </c>
      <c r="B222" t="s">
        <v>256</v>
      </c>
      <c r="C222" t="s">
        <v>16</v>
      </c>
      <c r="D222" t="s">
        <v>13</v>
      </c>
      <c r="E222">
        <v>2579</v>
      </c>
      <c r="F222" t="s">
        <v>349</v>
      </c>
      <c r="G222" t="s">
        <v>48</v>
      </c>
      <c r="H222" t="s">
        <v>271</v>
      </c>
      <c r="I222" t="s">
        <v>350</v>
      </c>
      <c r="J222">
        <v>109</v>
      </c>
      <c r="K222" s="1">
        <v>45341</v>
      </c>
      <c r="L222" s="2">
        <v>0.36834490740740738</v>
      </c>
      <c r="M222" t="s">
        <v>251</v>
      </c>
      <c r="N222" t="s">
        <v>252</v>
      </c>
      <c r="O222">
        <v>1</v>
      </c>
      <c r="P222">
        <v>0</v>
      </c>
      <c r="Q222">
        <v>1</v>
      </c>
      <c r="R222">
        <v>281111</v>
      </c>
    </row>
    <row r="223" spans="1:18" x14ac:dyDescent="0.25">
      <c r="A223">
        <v>180176</v>
      </c>
      <c r="B223" t="s">
        <v>256</v>
      </c>
      <c r="C223" t="s">
        <v>16</v>
      </c>
      <c r="D223" t="s">
        <v>16</v>
      </c>
      <c r="E223">
        <v>2220</v>
      </c>
      <c r="F223" t="s">
        <v>257</v>
      </c>
      <c r="G223" t="s">
        <v>17</v>
      </c>
      <c r="H223" t="s">
        <v>258</v>
      </c>
      <c r="I223" t="s">
        <v>259</v>
      </c>
      <c r="J223">
        <v>129</v>
      </c>
      <c r="K223" s="1">
        <v>45341</v>
      </c>
      <c r="L223" s="2">
        <v>0.36813657407407407</v>
      </c>
      <c r="M223" t="s">
        <v>251</v>
      </c>
      <c r="N223" t="s">
        <v>252</v>
      </c>
      <c r="O223">
        <v>1</v>
      </c>
      <c r="P223">
        <v>1</v>
      </c>
      <c r="Q223">
        <v>1</v>
      </c>
      <c r="R223">
        <v>286380</v>
      </c>
    </row>
    <row r="224" spans="1:18" x14ac:dyDescent="0.25">
      <c r="A224">
        <v>134927</v>
      </c>
      <c r="B224" t="s">
        <v>12</v>
      </c>
      <c r="C224" t="s">
        <v>16</v>
      </c>
      <c r="D224" t="s">
        <v>16</v>
      </c>
      <c r="E224">
        <v>2252</v>
      </c>
      <c r="F224" t="s">
        <v>344</v>
      </c>
      <c r="G224" t="s">
        <v>46</v>
      </c>
      <c r="H224" t="s">
        <v>330</v>
      </c>
      <c r="I224" t="s">
        <v>345</v>
      </c>
      <c r="J224">
        <v>129</v>
      </c>
      <c r="K224" s="1">
        <v>45341</v>
      </c>
      <c r="L224" s="2">
        <v>0.36832175925925925</v>
      </c>
      <c r="M224" t="s">
        <v>251</v>
      </c>
      <c r="N224" t="s">
        <v>252</v>
      </c>
      <c r="O224">
        <v>1</v>
      </c>
      <c r="P224">
        <v>1</v>
      </c>
      <c r="Q224">
        <v>1</v>
      </c>
      <c r="R224">
        <v>290508</v>
      </c>
    </row>
    <row r="225" spans="1:18" x14ac:dyDescent="0.25">
      <c r="A225">
        <v>155050</v>
      </c>
      <c r="B225" t="s">
        <v>12</v>
      </c>
      <c r="C225" t="s">
        <v>13</v>
      </c>
      <c r="D225" t="s">
        <v>16</v>
      </c>
      <c r="E225">
        <v>2321</v>
      </c>
      <c r="F225" t="s">
        <v>306</v>
      </c>
      <c r="G225" t="s">
        <v>33</v>
      </c>
      <c r="H225" t="s">
        <v>307</v>
      </c>
      <c r="I225" t="s">
        <v>308</v>
      </c>
      <c r="J225">
        <v>129</v>
      </c>
      <c r="K225" s="1">
        <v>45341</v>
      </c>
      <c r="L225" s="2">
        <v>0.36824074074074076</v>
      </c>
      <c r="M225" t="s">
        <v>251</v>
      </c>
      <c r="N225" t="s">
        <v>252</v>
      </c>
      <c r="O225">
        <v>0</v>
      </c>
      <c r="P225">
        <v>1</v>
      </c>
      <c r="Q225">
        <v>1</v>
      </c>
      <c r="R225">
        <v>299409</v>
      </c>
    </row>
    <row r="226" spans="1:18" x14ac:dyDescent="0.25">
      <c r="A226">
        <v>195879</v>
      </c>
      <c r="B226" t="s">
        <v>269</v>
      </c>
      <c r="C226" t="s">
        <v>16</v>
      </c>
      <c r="D226" t="s">
        <v>16</v>
      </c>
      <c r="E226">
        <v>2339</v>
      </c>
      <c r="F226" t="s">
        <v>303</v>
      </c>
      <c r="G226" t="s">
        <v>32</v>
      </c>
      <c r="H226" t="s">
        <v>304</v>
      </c>
      <c r="I226" t="s">
        <v>305</v>
      </c>
      <c r="J226">
        <v>129</v>
      </c>
      <c r="K226" s="1">
        <v>45341</v>
      </c>
      <c r="L226" s="2">
        <v>0.36822916666666666</v>
      </c>
      <c r="M226" t="s">
        <v>251</v>
      </c>
      <c r="N226" t="s">
        <v>252</v>
      </c>
      <c r="O226">
        <v>1</v>
      </c>
      <c r="P226">
        <v>1</v>
      </c>
      <c r="Q226">
        <v>1</v>
      </c>
      <c r="R226">
        <v>301731</v>
      </c>
    </row>
    <row r="227" spans="1:18" x14ac:dyDescent="0.25">
      <c r="A227">
        <v>148888</v>
      </c>
      <c r="B227" t="s">
        <v>269</v>
      </c>
      <c r="C227" t="s">
        <v>13</v>
      </c>
      <c r="D227" t="s">
        <v>13</v>
      </c>
      <c r="E227">
        <v>2774</v>
      </c>
      <c r="F227" t="s">
        <v>335</v>
      </c>
      <c r="G227" t="s">
        <v>43</v>
      </c>
      <c r="H227" t="s">
        <v>336</v>
      </c>
      <c r="I227" t="s">
        <v>337</v>
      </c>
      <c r="J227">
        <v>109</v>
      </c>
      <c r="K227" s="1">
        <v>45341</v>
      </c>
      <c r="L227" s="2">
        <v>0.36831018518518521</v>
      </c>
      <c r="M227" t="s">
        <v>251</v>
      </c>
      <c r="N227" t="s">
        <v>252</v>
      </c>
      <c r="O227">
        <v>0</v>
      </c>
      <c r="P227">
        <v>0</v>
      </c>
      <c r="Q227">
        <v>1</v>
      </c>
      <c r="R227">
        <v>302366</v>
      </c>
    </row>
    <row r="228" spans="1:18" x14ac:dyDescent="0.25">
      <c r="A228">
        <v>195103</v>
      </c>
      <c r="B228" t="s">
        <v>12</v>
      </c>
      <c r="C228" t="s">
        <v>16</v>
      </c>
      <c r="D228" t="s">
        <v>13</v>
      </c>
      <c r="E228">
        <v>2849</v>
      </c>
      <c r="F228" t="s">
        <v>752</v>
      </c>
      <c r="G228" t="s">
        <v>131</v>
      </c>
      <c r="H228" t="s">
        <v>307</v>
      </c>
      <c r="I228" t="s">
        <v>343</v>
      </c>
      <c r="J228">
        <v>109</v>
      </c>
      <c r="K228" s="1">
        <v>45341</v>
      </c>
      <c r="L228" s="2">
        <v>0.3823611111111111</v>
      </c>
      <c r="M228" t="s">
        <v>849</v>
      </c>
      <c r="N228" t="s">
        <v>252</v>
      </c>
      <c r="O228">
        <v>1</v>
      </c>
      <c r="P228">
        <v>0</v>
      </c>
      <c r="Q228">
        <v>1</v>
      </c>
      <c r="R228">
        <v>310541</v>
      </c>
    </row>
    <row r="229" spans="1:18" x14ac:dyDescent="0.25">
      <c r="A229">
        <v>172364</v>
      </c>
      <c r="B229" t="s">
        <v>12</v>
      </c>
      <c r="C229" t="s">
        <v>16</v>
      </c>
      <c r="D229" t="s">
        <v>13</v>
      </c>
      <c r="E229">
        <v>2931</v>
      </c>
      <c r="F229" t="s">
        <v>351</v>
      </c>
      <c r="G229" t="s">
        <v>49</v>
      </c>
      <c r="H229" t="s">
        <v>327</v>
      </c>
      <c r="I229" t="s">
        <v>352</v>
      </c>
      <c r="J229">
        <v>109</v>
      </c>
      <c r="K229" s="1">
        <v>45341</v>
      </c>
      <c r="L229" s="2">
        <v>0.36835648148148148</v>
      </c>
      <c r="M229" t="s">
        <v>251</v>
      </c>
      <c r="N229" t="s">
        <v>252</v>
      </c>
      <c r="O229">
        <v>1</v>
      </c>
      <c r="P229">
        <v>0</v>
      </c>
      <c r="Q229">
        <v>1</v>
      </c>
      <c r="R229">
        <v>319479</v>
      </c>
    </row>
    <row r="230" spans="1:18" x14ac:dyDescent="0.25">
      <c r="A230">
        <v>151396</v>
      </c>
      <c r="B230" t="s">
        <v>269</v>
      </c>
      <c r="C230" t="s">
        <v>16</v>
      </c>
      <c r="D230" t="s">
        <v>16</v>
      </c>
      <c r="E230">
        <v>729</v>
      </c>
      <c r="F230" t="s">
        <v>291</v>
      </c>
      <c r="G230" t="s">
        <v>28</v>
      </c>
      <c r="H230" t="s">
        <v>292</v>
      </c>
      <c r="I230" t="s">
        <v>293</v>
      </c>
      <c r="J230">
        <v>439</v>
      </c>
      <c r="K230" s="1">
        <v>45341</v>
      </c>
      <c r="L230" s="2">
        <v>0.36820601851851853</v>
      </c>
      <c r="M230" t="s">
        <v>251</v>
      </c>
      <c r="N230" t="s">
        <v>252</v>
      </c>
      <c r="O230">
        <v>1</v>
      </c>
      <c r="P230">
        <v>1</v>
      </c>
      <c r="Q230">
        <v>1</v>
      </c>
      <c r="R230">
        <v>320031</v>
      </c>
    </row>
    <row r="231" spans="1:18" x14ac:dyDescent="0.25">
      <c r="A231">
        <v>127478</v>
      </c>
      <c r="B231" t="s">
        <v>269</v>
      </c>
      <c r="C231" t="s">
        <v>13</v>
      </c>
      <c r="D231" t="s">
        <v>16</v>
      </c>
      <c r="E231">
        <v>2498</v>
      </c>
      <c r="F231" t="s">
        <v>398</v>
      </c>
      <c r="G231" t="s">
        <v>67</v>
      </c>
      <c r="H231" t="s">
        <v>399</v>
      </c>
      <c r="I231" t="s">
        <v>400</v>
      </c>
      <c r="J231">
        <v>129</v>
      </c>
      <c r="K231" s="1">
        <v>45341</v>
      </c>
      <c r="L231" s="2">
        <v>0.36850694444444443</v>
      </c>
      <c r="M231" t="s">
        <v>251</v>
      </c>
      <c r="N231" t="s">
        <v>252</v>
      </c>
      <c r="O231">
        <v>0</v>
      </c>
      <c r="P231">
        <v>1</v>
      </c>
      <c r="Q231">
        <v>1</v>
      </c>
      <c r="R231">
        <v>322242</v>
      </c>
    </row>
    <row r="232" spans="1:18" x14ac:dyDescent="0.25">
      <c r="A232">
        <v>141861</v>
      </c>
      <c r="B232" t="s">
        <v>12</v>
      </c>
      <c r="C232" t="s">
        <v>16</v>
      </c>
      <c r="D232" t="s">
        <v>16</v>
      </c>
      <c r="E232">
        <v>1916</v>
      </c>
      <c r="F232" t="s">
        <v>276</v>
      </c>
      <c r="G232" t="s">
        <v>23</v>
      </c>
      <c r="H232" t="s">
        <v>277</v>
      </c>
      <c r="I232" t="s">
        <v>278</v>
      </c>
      <c r="J232">
        <v>169</v>
      </c>
      <c r="K232" s="1">
        <v>45341</v>
      </c>
      <c r="L232" s="2">
        <v>0.3681712962962963</v>
      </c>
      <c r="M232" t="s">
        <v>251</v>
      </c>
      <c r="N232" t="s">
        <v>252</v>
      </c>
      <c r="O232">
        <v>1</v>
      </c>
      <c r="P232">
        <v>1</v>
      </c>
      <c r="Q232">
        <v>1</v>
      </c>
      <c r="R232">
        <v>323804</v>
      </c>
    </row>
    <row r="233" spans="1:18" x14ac:dyDescent="0.25">
      <c r="A233">
        <v>123047</v>
      </c>
      <c r="B233" t="s">
        <v>12</v>
      </c>
      <c r="C233" t="s">
        <v>13</v>
      </c>
      <c r="D233" t="s">
        <v>16</v>
      </c>
      <c r="E233">
        <v>2985</v>
      </c>
      <c r="F233" t="s">
        <v>755</v>
      </c>
      <c r="G233" t="s">
        <v>132</v>
      </c>
      <c r="H233" t="s">
        <v>274</v>
      </c>
      <c r="I233" t="s">
        <v>469</v>
      </c>
      <c r="J233">
        <v>109</v>
      </c>
      <c r="K233" s="1">
        <v>45341</v>
      </c>
      <c r="L233" s="2">
        <v>0.38237268518518519</v>
      </c>
      <c r="M233" t="s">
        <v>849</v>
      </c>
      <c r="N233" t="s">
        <v>252</v>
      </c>
      <c r="O233">
        <v>0</v>
      </c>
      <c r="P233">
        <v>1</v>
      </c>
      <c r="Q233">
        <v>1</v>
      </c>
      <c r="R233">
        <v>325365</v>
      </c>
    </row>
    <row r="234" spans="1:18" x14ac:dyDescent="0.25">
      <c r="A234">
        <v>179801</v>
      </c>
      <c r="B234" t="s">
        <v>269</v>
      </c>
      <c r="C234" t="s">
        <v>13</v>
      </c>
      <c r="D234" t="s">
        <v>16</v>
      </c>
      <c r="E234">
        <v>2608</v>
      </c>
      <c r="F234" t="s">
        <v>341</v>
      </c>
      <c r="G234" t="s">
        <v>45</v>
      </c>
      <c r="H234" t="s">
        <v>342</v>
      </c>
      <c r="I234" t="s">
        <v>343</v>
      </c>
      <c r="J234">
        <v>129</v>
      </c>
      <c r="K234" s="1">
        <v>45341</v>
      </c>
      <c r="L234" s="2">
        <v>0.36832175925925925</v>
      </c>
      <c r="M234" t="s">
        <v>251</v>
      </c>
      <c r="N234" t="s">
        <v>252</v>
      </c>
      <c r="O234">
        <v>0</v>
      </c>
      <c r="P234">
        <v>1</v>
      </c>
      <c r="Q234">
        <v>1</v>
      </c>
      <c r="R234">
        <v>336432</v>
      </c>
    </row>
    <row r="235" spans="1:18" x14ac:dyDescent="0.25">
      <c r="A235">
        <v>113143</v>
      </c>
      <c r="B235" t="s">
        <v>12</v>
      </c>
      <c r="C235" t="s">
        <v>16</v>
      </c>
      <c r="D235" t="s">
        <v>16</v>
      </c>
      <c r="E235">
        <v>2663</v>
      </c>
      <c r="F235" t="s">
        <v>282</v>
      </c>
      <c r="G235" t="s">
        <v>25</v>
      </c>
      <c r="H235" t="s">
        <v>283</v>
      </c>
      <c r="I235" t="s">
        <v>284</v>
      </c>
      <c r="J235">
        <v>129</v>
      </c>
      <c r="K235" s="1">
        <v>45341</v>
      </c>
      <c r="L235" s="2">
        <v>0.36819444444444444</v>
      </c>
      <c r="M235" t="s">
        <v>251</v>
      </c>
      <c r="N235" t="s">
        <v>252</v>
      </c>
      <c r="O235">
        <v>1</v>
      </c>
      <c r="P235">
        <v>1</v>
      </c>
      <c r="Q235">
        <v>1</v>
      </c>
      <c r="R235">
        <v>343527</v>
      </c>
    </row>
    <row r="236" spans="1:18" x14ac:dyDescent="0.25">
      <c r="A236">
        <v>110075</v>
      </c>
      <c r="B236" t="s">
        <v>269</v>
      </c>
      <c r="C236" t="s">
        <v>16</v>
      </c>
      <c r="D236" t="s">
        <v>16</v>
      </c>
      <c r="E236">
        <v>2185</v>
      </c>
      <c r="F236" t="s">
        <v>536</v>
      </c>
      <c r="G236" t="s">
        <v>118</v>
      </c>
      <c r="H236" t="s">
        <v>537</v>
      </c>
      <c r="I236" t="s">
        <v>538</v>
      </c>
      <c r="J236">
        <v>159</v>
      </c>
      <c r="K236" s="1">
        <v>45341</v>
      </c>
      <c r="L236" s="2">
        <v>0.36895833333333333</v>
      </c>
      <c r="M236" t="s">
        <v>251</v>
      </c>
      <c r="N236" t="s">
        <v>252</v>
      </c>
      <c r="O236">
        <v>1</v>
      </c>
      <c r="P236">
        <v>1</v>
      </c>
      <c r="Q236">
        <v>1</v>
      </c>
      <c r="R236">
        <v>347415</v>
      </c>
    </row>
    <row r="237" spans="1:18" x14ac:dyDescent="0.25">
      <c r="A237">
        <v>199233</v>
      </c>
      <c r="B237" t="s">
        <v>12</v>
      </c>
      <c r="C237" t="s">
        <v>16</v>
      </c>
      <c r="D237" t="s">
        <v>13</v>
      </c>
      <c r="E237">
        <v>2222</v>
      </c>
      <c r="F237" t="s">
        <v>788</v>
      </c>
      <c r="G237" t="s">
        <v>143</v>
      </c>
      <c r="H237" t="s">
        <v>342</v>
      </c>
      <c r="I237" t="s">
        <v>340</v>
      </c>
      <c r="J237">
        <v>159</v>
      </c>
      <c r="K237" s="1">
        <v>45341</v>
      </c>
      <c r="L237" s="2">
        <v>0.38245370370370368</v>
      </c>
      <c r="M237" t="s">
        <v>251</v>
      </c>
      <c r="N237" t="s">
        <v>252</v>
      </c>
      <c r="O237">
        <v>1</v>
      </c>
      <c r="P237">
        <v>0</v>
      </c>
      <c r="Q237">
        <v>1</v>
      </c>
      <c r="R237">
        <v>353298</v>
      </c>
    </row>
    <row r="238" spans="1:18" x14ac:dyDescent="0.25">
      <c r="A238">
        <v>134693</v>
      </c>
      <c r="B238" t="s">
        <v>12</v>
      </c>
      <c r="C238" t="s">
        <v>16</v>
      </c>
      <c r="D238" t="s">
        <v>13</v>
      </c>
      <c r="E238">
        <v>2124</v>
      </c>
      <c r="F238" t="s">
        <v>288</v>
      </c>
      <c r="G238" t="s">
        <v>27</v>
      </c>
      <c r="H238" t="s">
        <v>289</v>
      </c>
      <c r="I238" t="s">
        <v>290</v>
      </c>
      <c r="J238">
        <v>169</v>
      </c>
      <c r="K238" s="1">
        <v>45341</v>
      </c>
      <c r="L238" s="2">
        <v>0.36820601851851853</v>
      </c>
      <c r="M238" t="s">
        <v>251</v>
      </c>
      <c r="N238" t="s">
        <v>252</v>
      </c>
      <c r="O238">
        <v>1</v>
      </c>
      <c r="P238">
        <v>0</v>
      </c>
      <c r="Q238">
        <v>1</v>
      </c>
      <c r="R238">
        <v>358956</v>
      </c>
    </row>
    <row r="239" spans="1:18" x14ac:dyDescent="0.25">
      <c r="A239">
        <v>172015</v>
      </c>
      <c r="B239" t="s">
        <v>256</v>
      </c>
      <c r="C239" t="s">
        <v>16</v>
      </c>
      <c r="D239" t="s">
        <v>16</v>
      </c>
      <c r="E239">
        <v>2622</v>
      </c>
      <c r="F239" t="s">
        <v>773</v>
      </c>
      <c r="G239" t="s">
        <v>138</v>
      </c>
      <c r="H239" t="s">
        <v>327</v>
      </c>
      <c r="I239" t="s">
        <v>486</v>
      </c>
      <c r="J239">
        <v>139</v>
      </c>
      <c r="K239" s="1">
        <v>45341</v>
      </c>
      <c r="L239" s="2">
        <v>0.38241898148148146</v>
      </c>
      <c r="M239" t="s">
        <v>849</v>
      </c>
      <c r="N239" t="s">
        <v>252</v>
      </c>
      <c r="O239">
        <v>1</v>
      </c>
      <c r="P239">
        <v>1</v>
      </c>
      <c r="Q239">
        <v>1</v>
      </c>
      <c r="R239">
        <v>364458</v>
      </c>
    </row>
    <row r="240" spans="1:18" x14ac:dyDescent="0.25">
      <c r="A240">
        <v>113435</v>
      </c>
      <c r="B240" t="s">
        <v>12</v>
      </c>
      <c r="C240" t="s">
        <v>13</v>
      </c>
      <c r="D240" t="s">
        <v>16</v>
      </c>
      <c r="E240">
        <v>2973</v>
      </c>
      <c r="F240" t="s">
        <v>782</v>
      </c>
      <c r="G240" t="s">
        <v>141</v>
      </c>
      <c r="H240" t="s">
        <v>336</v>
      </c>
      <c r="I240" t="s">
        <v>334</v>
      </c>
      <c r="J240">
        <v>129</v>
      </c>
      <c r="K240" s="1">
        <v>45341</v>
      </c>
      <c r="L240" s="2">
        <v>0.38244212962962965</v>
      </c>
      <c r="M240" t="s">
        <v>251</v>
      </c>
      <c r="N240" t="s">
        <v>252</v>
      </c>
      <c r="O240">
        <v>0</v>
      </c>
      <c r="P240">
        <v>1</v>
      </c>
      <c r="Q240">
        <v>1</v>
      </c>
      <c r="R240">
        <v>383517</v>
      </c>
    </row>
    <row r="241" spans="1:18" x14ac:dyDescent="0.25">
      <c r="A241">
        <v>123824</v>
      </c>
      <c r="B241" t="s">
        <v>12</v>
      </c>
      <c r="C241" t="s">
        <v>16</v>
      </c>
      <c r="D241" t="s">
        <v>13</v>
      </c>
      <c r="E241">
        <v>2277</v>
      </c>
      <c r="F241" t="s">
        <v>496</v>
      </c>
      <c r="G241" t="s">
        <v>102</v>
      </c>
      <c r="H241" t="s">
        <v>497</v>
      </c>
      <c r="I241" t="s">
        <v>498</v>
      </c>
      <c r="J241">
        <v>169</v>
      </c>
      <c r="K241" s="1">
        <v>45341</v>
      </c>
      <c r="L241" s="2">
        <v>0.36879629629629629</v>
      </c>
      <c r="M241" t="s">
        <v>251</v>
      </c>
      <c r="N241" t="s">
        <v>252</v>
      </c>
      <c r="O241">
        <v>1</v>
      </c>
      <c r="P241">
        <v>0</v>
      </c>
      <c r="Q241">
        <v>1</v>
      </c>
      <c r="R241">
        <v>384813</v>
      </c>
    </row>
    <row r="242" spans="1:18" x14ac:dyDescent="0.25">
      <c r="A242">
        <v>182157</v>
      </c>
      <c r="B242" t="s">
        <v>12</v>
      </c>
      <c r="C242" t="s">
        <v>13</v>
      </c>
      <c r="D242" t="s">
        <v>13</v>
      </c>
      <c r="E242">
        <v>2421</v>
      </c>
      <c r="F242" t="s">
        <v>273</v>
      </c>
      <c r="G242" t="s">
        <v>22</v>
      </c>
      <c r="H242" t="s">
        <v>274</v>
      </c>
      <c r="I242" t="s">
        <v>275</v>
      </c>
      <c r="J242">
        <v>159</v>
      </c>
      <c r="K242" s="1">
        <v>45341</v>
      </c>
      <c r="L242" s="2">
        <v>0.3681712962962963</v>
      </c>
      <c r="M242" t="s">
        <v>251</v>
      </c>
      <c r="N242" t="s">
        <v>252</v>
      </c>
      <c r="O242">
        <v>0</v>
      </c>
      <c r="P242">
        <v>0</v>
      </c>
      <c r="Q242">
        <v>1</v>
      </c>
      <c r="R242">
        <v>384939</v>
      </c>
    </row>
    <row r="243" spans="1:18" x14ac:dyDescent="0.25">
      <c r="A243">
        <v>161909</v>
      </c>
      <c r="B243" t="s">
        <v>12</v>
      </c>
      <c r="C243" t="s">
        <v>16</v>
      </c>
      <c r="D243" t="s">
        <v>13</v>
      </c>
      <c r="E243">
        <v>1290</v>
      </c>
      <c r="F243" t="s">
        <v>317</v>
      </c>
      <c r="G243" t="s">
        <v>37</v>
      </c>
      <c r="H243" t="s">
        <v>318</v>
      </c>
      <c r="I243" t="s">
        <v>319</v>
      </c>
      <c r="J243">
        <v>299</v>
      </c>
      <c r="K243" s="1">
        <v>45341</v>
      </c>
      <c r="L243" s="2">
        <v>0.36826388888888889</v>
      </c>
      <c r="M243" t="s">
        <v>251</v>
      </c>
      <c r="N243" t="s">
        <v>252</v>
      </c>
      <c r="O243">
        <v>1</v>
      </c>
      <c r="P243">
        <v>0</v>
      </c>
      <c r="Q243">
        <v>1</v>
      </c>
      <c r="R243">
        <v>385710</v>
      </c>
    </row>
    <row r="244" spans="1:18" x14ac:dyDescent="0.25">
      <c r="A244">
        <v>138779</v>
      </c>
      <c r="B244" t="s">
        <v>269</v>
      </c>
      <c r="C244" t="s">
        <v>16</v>
      </c>
      <c r="D244" t="s">
        <v>16</v>
      </c>
      <c r="E244">
        <v>2801</v>
      </c>
      <c r="F244" t="s">
        <v>526</v>
      </c>
      <c r="G244" t="s">
        <v>114</v>
      </c>
      <c r="H244" t="s">
        <v>258</v>
      </c>
      <c r="I244" t="s">
        <v>262</v>
      </c>
      <c r="J244">
        <v>139</v>
      </c>
      <c r="K244" s="1">
        <v>45341</v>
      </c>
      <c r="L244" s="2">
        <v>0.3689351851851852</v>
      </c>
      <c r="M244" t="s">
        <v>251</v>
      </c>
      <c r="N244" t="s">
        <v>252</v>
      </c>
      <c r="O244">
        <v>1</v>
      </c>
      <c r="P244">
        <v>1</v>
      </c>
      <c r="Q244">
        <v>1</v>
      </c>
      <c r="R244">
        <v>389339</v>
      </c>
    </row>
    <row r="245" spans="1:18" x14ac:dyDescent="0.25">
      <c r="A245">
        <v>110805</v>
      </c>
      <c r="B245" t="s">
        <v>269</v>
      </c>
      <c r="C245" t="s">
        <v>16</v>
      </c>
      <c r="D245" t="s">
        <v>13</v>
      </c>
      <c r="E245">
        <v>2477</v>
      </c>
      <c r="F245" t="s">
        <v>338</v>
      </c>
      <c r="G245" t="s">
        <v>44</v>
      </c>
      <c r="H245" t="s">
        <v>339</v>
      </c>
      <c r="I245" t="s">
        <v>340</v>
      </c>
      <c r="J245">
        <v>159</v>
      </c>
      <c r="K245" s="1">
        <v>45341</v>
      </c>
      <c r="L245" s="2">
        <v>0.36831018518518521</v>
      </c>
      <c r="M245" t="s">
        <v>251</v>
      </c>
      <c r="N245" t="s">
        <v>252</v>
      </c>
      <c r="O245">
        <v>1</v>
      </c>
      <c r="P245">
        <v>0</v>
      </c>
      <c r="Q245">
        <v>1</v>
      </c>
      <c r="R245">
        <v>393843</v>
      </c>
    </row>
    <row r="246" spans="1:18" x14ac:dyDescent="0.25">
      <c r="A246">
        <v>137598</v>
      </c>
      <c r="B246" t="s">
        <v>12</v>
      </c>
      <c r="C246" t="s">
        <v>13</v>
      </c>
      <c r="D246" t="s">
        <v>16</v>
      </c>
      <c r="E246">
        <v>2839</v>
      </c>
      <c r="F246" t="s">
        <v>524</v>
      </c>
      <c r="G246" t="s">
        <v>113</v>
      </c>
      <c r="H246" t="s">
        <v>411</v>
      </c>
      <c r="I246" t="s">
        <v>525</v>
      </c>
      <c r="J246">
        <v>139</v>
      </c>
      <c r="K246" s="1">
        <v>45341</v>
      </c>
      <c r="L246" s="2">
        <v>0.3689351851851852</v>
      </c>
      <c r="M246" t="s">
        <v>251</v>
      </c>
      <c r="N246" t="s">
        <v>252</v>
      </c>
      <c r="O246">
        <v>0</v>
      </c>
      <c r="P246">
        <v>1</v>
      </c>
      <c r="Q246">
        <v>1</v>
      </c>
      <c r="R246">
        <v>394621</v>
      </c>
    </row>
    <row r="247" spans="1:18" x14ac:dyDescent="0.25">
      <c r="A247">
        <v>192936</v>
      </c>
      <c r="B247" t="s">
        <v>256</v>
      </c>
      <c r="C247" t="s">
        <v>13</v>
      </c>
      <c r="D247" t="s">
        <v>16</v>
      </c>
      <c r="E247">
        <v>2942</v>
      </c>
      <c r="F247" t="s">
        <v>263</v>
      </c>
      <c r="G247" t="s">
        <v>19</v>
      </c>
      <c r="H247" t="s">
        <v>264</v>
      </c>
      <c r="I247" t="s">
        <v>265</v>
      </c>
      <c r="J247">
        <v>139</v>
      </c>
      <c r="K247" s="1">
        <v>45341</v>
      </c>
      <c r="L247" s="2">
        <v>0.36814814814814817</v>
      </c>
      <c r="M247" t="s">
        <v>251</v>
      </c>
      <c r="N247" t="s">
        <v>252</v>
      </c>
      <c r="O247">
        <v>0</v>
      </c>
      <c r="P247">
        <v>1</v>
      </c>
      <c r="Q247">
        <v>1</v>
      </c>
      <c r="R247">
        <v>408938</v>
      </c>
    </row>
    <row r="248" spans="1:18" x14ac:dyDescent="0.25">
      <c r="A248">
        <v>152563</v>
      </c>
      <c r="B248" t="s">
        <v>269</v>
      </c>
      <c r="C248" t="s">
        <v>13</v>
      </c>
      <c r="D248" t="s">
        <v>16</v>
      </c>
      <c r="E248">
        <v>2572</v>
      </c>
      <c r="F248" t="s">
        <v>725</v>
      </c>
      <c r="G248" t="s">
        <v>183</v>
      </c>
      <c r="H248" t="s">
        <v>726</v>
      </c>
      <c r="I248" t="s">
        <v>727</v>
      </c>
      <c r="J248">
        <v>169</v>
      </c>
      <c r="K248" s="1">
        <v>45341</v>
      </c>
      <c r="L248" s="2">
        <v>0.38237268518518519</v>
      </c>
      <c r="M248" t="s">
        <v>699</v>
      </c>
      <c r="N248" t="s">
        <v>700</v>
      </c>
      <c r="O248">
        <v>0</v>
      </c>
      <c r="P248">
        <v>1</v>
      </c>
      <c r="Q248">
        <v>0</v>
      </c>
      <c r="R248">
        <v>434668</v>
      </c>
    </row>
    <row r="249" spans="1:18" x14ac:dyDescent="0.25">
      <c r="A249">
        <v>154016</v>
      </c>
      <c r="B249" t="s">
        <v>256</v>
      </c>
      <c r="C249" t="s">
        <v>16</v>
      </c>
      <c r="D249" t="s">
        <v>16</v>
      </c>
      <c r="E249">
        <v>2366</v>
      </c>
      <c r="F249" t="s">
        <v>442</v>
      </c>
      <c r="G249" t="s">
        <v>82</v>
      </c>
      <c r="H249" t="s">
        <v>443</v>
      </c>
      <c r="I249" t="s">
        <v>444</v>
      </c>
      <c r="J249">
        <v>189</v>
      </c>
      <c r="K249" s="1">
        <v>45341</v>
      </c>
      <c r="L249" s="2">
        <v>0.36861111111111111</v>
      </c>
      <c r="M249" t="s">
        <v>251</v>
      </c>
      <c r="N249" t="s">
        <v>252</v>
      </c>
      <c r="O249">
        <v>1</v>
      </c>
      <c r="P249">
        <v>1</v>
      </c>
      <c r="Q249">
        <v>1</v>
      </c>
      <c r="R249">
        <v>447174</v>
      </c>
    </row>
    <row r="250" spans="1:18" x14ac:dyDescent="0.25">
      <c r="A250">
        <v>152723</v>
      </c>
      <c r="B250" t="s">
        <v>12</v>
      </c>
      <c r="C250" t="s">
        <v>13</v>
      </c>
      <c r="D250" t="s">
        <v>16</v>
      </c>
      <c r="E250">
        <v>2849</v>
      </c>
      <c r="F250" t="s">
        <v>493</v>
      </c>
      <c r="G250" t="s">
        <v>101</v>
      </c>
      <c r="H250" t="s">
        <v>494</v>
      </c>
      <c r="I250" t="s">
        <v>495</v>
      </c>
      <c r="J250">
        <v>169</v>
      </c>
      <c r="K250" s="1">
        <v>45341</v>
      </c>
      <c r="L250" s="2">
        <v>0.36878472222222225</v>
      </c>
      <c r="M250" t="s">
        <v>251</v>
      </c>
      <c r="N250" t="s">
        <v>252</v>
      </c>
      <c r="O250">
        <v>0</v>
      </c>
      <c r="P250">
        <v>1</v>
      </c>
      <c r="Q250">
        <v>1</v>
      </c>
      <c r="R250">
        <v>481481</v>
      </c>
    </row>
    <row r="251" spans="1:18" x14ac:dyDescent="0.25">
      <c r="A251">
        <v>114877</v>
      </c>
      <c r="B251" t="s">
        <v>12</v>
      </c>
      <c r="C251" t="s">
        <v>13</v>
      </c>
      <c r="D251" t="s">
        <v>13</v>
      </c>
      <c r="E251">
        <v>1860</v>
      </c>
      <c r="F251" t="s">
        <v>361</v>
      </c>
      <c r="G251" t="s">
        <v>53</v>
      </c>
      <c r="H251" t="s">
        <v>362</v>
      </c>
      <c r="I251" t="s">
        <v>363</v>
      </c>
      <c r="J251">
        <v>349</v>
      </c>
      <c r="K251" s="1">
        <v>45341</v>
      </c>
      <c r="L251" s="2">
        <v>0.36839120370370371</v>
      </c>
      <c r="M251" t="s">
        <v>251</v>
      </c>
      <c r="N251" t="s">
        <v>252</v>
      </c>
      <c r="O251">
        <v>0</v>
      </c>
      <c r="P251">
        <v>0</v>
      </c>
      <c r="Q251">
        <v>1</v>
      </c>
      <c r="R251">
        <v>649140</v>
      </c>
    </row>
    <row r="252" spans="1:18" x14ac:dyDescent="0.25">
      <c r="A252">
        <v>151925</v>
      </c>
      <c r="B252" t="s">
        <v>256</v>
      </c>
      <c r="C252" t="s">
        <v>16</v>
      </c>
      <c r="D252" t="s">
        <v>16</v>
      </c>
      <c r="E252">
        <v>2179</v>
      </c>
      <c r="F252" t="s">
        <v>422</v>
      </c>
      <c r="G252" t="s">
        <v>75</v>
      </c>
      <c r="H252" t="s">
        <v>423</v>
      </c>
      <c r="J252">
        <v>299</v>
      </c>
      <c r="K252" s="1">
        <v>45341</v>
      </c>
      <c r="L252" s="2">
        <v>0.36855324074074075</v>
      </c>
      <c r="M252" t="s">
        <v>251</v>
      </c>
      <c r="N252" t="s">
        <v>252</v>
      </c>
      <c r="O252">
        <v>1</v>
      </c>
      <c r="P252">
        <v>1</v>
      </c>
      <c r="Q252">
        <v>1</v>
      </c>
      <c r="R252">
        <v>651521</v>
      </c>
    </row>
  </sheetData>
  <phoneticPr fontId="18" type="noConversion"/>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19E5F096-8828-4747-B149-00AE3DF15F94}">
  <ds:schemaRefs/>
</ds:datastoreItem>
</file>

<file path=customXml/itemProps2.xml><?xml version="1.0" encoding="utf-8"?>
<ds:datastoreItem xmlns:ds="http://schemas.openxmlformats.org/officeDocument/2006/customXml" ds:itemID="{66DD6A84-62DA-444C-96A6-0C8EB4C4DBFE}">
  <ds:schemaRefs/>
</ds:datastoreItem>
</file>

<file path=customXml/itemProps3.xml><?xml version="1.0" encoding="utf-8"?>
<ds:datastoreItem xmlns:ds="http://schemas.openxmlformats.org/officeDocument/2006/customXml" ds:itemID="{87A12C91-3036-4ABB-8F5A-3CEF0DF6F411}">
  <ds:schemaRefs/>
</ds:datastoreItem>
</file>

<file path=customXml/itemProps4.xml><?xml version="1.0" encoding="utf-8"?>
<ds:datastoreItem xmlns:ds="http://schemas.openxmlformats.org/officeDocument/2006/customXml" ds:itemID="{C0B8825F-6D53-4D14-8B4E-E560F69AA724}">
  <ds:schemaRefs/>
</ds:datastoreItem>
</file>

<file path=customXml/itemProps5.xml><?xml version="1.0" encoding="utf-8"?>
<ds:datastoreItem xmlns:ds="http://schemas.openxmlformats.org/officeDocument/2006/customXml" ds:itemID="{754B2475-0A0D-4352-996E-E128885F00E5}">
  <ds:schemaRefs>
    <ds:schemaRef ds:uri="http://schemas.microsoft.com/DataMashup"/>
  </ds:schemaRefs>
</ds:datastoreItem>
</file>

<file path=customXml/itemProps6.xml><?xml version="1.0" encoding="utf-8"?>
<ds:datastoreItem xmlns:ds="http://schemas.openxmlformats.org/officeDocument/2006/customXml" ds:itemID="{2C75262A-7629-4432-9F91-C5776DE1045B}">
  <ds:schemaRefs/>
</ds:datastoreItem>
</file>

<file path=customXml/itemProps7.xml><?xml version="1.0" encoding="utf-8"?>
<ds:datastoreItem xmlns:ds="http://schemas.openxmlformats.org/officeDocument/2006/customXml" ds:itemID="{C0711867-9761-4A7E-8928-AE2500A6729E}">
  <ds:schemaRefs/>
</ds:datastoreItem>
</file>

<file path=customXml/itemProps8.xml><?xml version="1.0" encoding="utf-8"?>
<ds:datastoreItem xmlns:ds="http://schemas.openxmlformats.org/officeDocument/2006/customXml" ds:itemID="{E7BD7EB3-E386-4187-8AD7-86B2E16637AA}">
  <ds:schemaRefs/>
</ds:datastoreItem>
</file>

<file path=customXml/itemProps9.xml><?xml version="1.0" encoding="utf-8"?>
<ds:datastoreItem xmlns:ds="http://schemas.openxmlformats.org/officeDocument/2006/customXml" ds:itemID="{9E8886DD-426A-4378-83EF-332378F4A3BB}">
  <ds:schemaRefs/>
</ds:datastoreItem>
</file>

<file path=customXml/itemProps10.xml><?xml version="1.0" encoding="utf-8"?>
<ds:datastoreItem xmlns:ds="http://schemas.openxmlformats.org/officeDocument/2006/customXml" ds:itemID="{61A4FAD9-62C4-4ED6-817E-5B34548A29C9}">
  <ds:schemaRefs/>
</ds:datastoreItem>
</file>

<file path=customXml/itemProps11.xml><?xml version="1.0" encoding="utf-8"?>
<ds:datastoreItem xmlns:ds="http://schemas.openxmlformats.org/officeDocument/2006/customXml" ds:itemID="{5181F338-C2E8-4BFD-979C-2913E10892DF}">
  <ds:schemaRefs/>
</ds:datastoreItem>
</file>

<file path=customXml/itemProps12.xml><?xml version="1.0" encoding="utf-8"?>
<ds:datastoreItem xmlns:ds="http://schemas.openxmlformats.org/officeDocument/2006/customXml" ds:itemID="{442DB2C7-ADBF-40AA-B8E2-ECAB006E5264}">
  <ds:schemaRefs/>
</ds:datastoreItem>
</file>

<file path=customXml/itemProps13.xml><?xml version="1.0" encoding="utf-8"?>
<ds:datastoreItem xmlns:ds="http://schemas.openxmlformats.org/officeDocument/2006/customXml" ds:itemID="{4A48E333-6F82-4F8D-AAB1-4A718F296DB8}">
  <ds:schemaRefs/>
</ds:datastoreItem>
</file>

<file path=customXml/itemProps14.xml><?xml version="1.0" encoding="utf-8"?>
<ds:datastoreItem xmlns:ds="http://schemas.openxmlformats.org/officeDocument/2006/customXml" ds:itemID="{2925F658-6217-4D0A-96C7-270608D3FB98}">
  <ds:schemaRefs/>
</ds:datastoreItem>
</file>

<file path=customXml/itemProps15.xml><?xml version="1.0" encoding="utf-8"?>
<ds:datastoreItem xmlns:ds="http://schemas.openxmlformats.org/officeDocument/2006/customXml" ds:itemID="{01EA3DFB-B1EE-4605-84E8-50C6251E637F}">
  <ds:schemaRefs/>
</ds:datastoreItem>
</file>

<file path=customXml/itemProps16.xml><?xml version="1.0" encoding="utf-8"?>
<ds:datastoreItem xmlns:ds="http://schemas.openxmlformats.org/officeDocument/2006/customXml" ds:itemID="{E23D1174-A77E-4062-8027-342F4ADDDD55}">
  <ds:schemaRefs/>
</ds:datastoreItem>
</file>

<file path=customXml/itemProps17.xml><?xml version="1.0" encoding="utf-8"?>
<ds:datastoreItem xmlns:ds="http://schemas.openxmlformats.org/officeDocument/2006/customXml" ds:itemID="{517BC073-1130-467B-A84B-DFA7B77A552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ZARA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زهران سيد</cp:lastModifiedBy>
  <dcterms:created xsi:type="dcterms:W3CDTF">2026-09-01T10:47:18Z</dcterms:created>
  <dcterms:modified xsi:type="dcterms:W3CDTF">2026-09-04T19:47:05Z</dcterms:modified>
</cp:coreProperties>
</file>